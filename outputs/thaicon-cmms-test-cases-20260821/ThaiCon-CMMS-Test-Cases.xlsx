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cc0a2745e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ummary" sheetId="1" r:id="Rbcb271b66b3943b0"/>
    <x:sheet xmlns:r="http://schemas.openxmlformats.org/officeDocument/2006/relationships" name="Test Cases" sheetId="2" r:id="R82e9048ffcfd448a"/>
    <x:sheet xmlns:r="http://schemas.openxmlformats.org/officeDocument/2006/relationships" name="RTM" sheetId="3" r:id="R3638fd9a11424d98"/>
    <x:sheet xmlns:r="http://schemas.openxmlformats.org/officeDocument/2006/relationships" name="Test Data" sheetId="4" r:id="R597822c1df204c30"/>
    <x:sheet xmlns:r="http://schemas.openxmlformats.org/officeDocument/2006/relationships" name="Defect Log" sheetId="5" r:id="R9b237b825abf4442"/>
    <x:sheet xmlns:r="http://schemas.openxmlformats.org/officeDocument/2006/relationships" name="Instructions" sheetId="6" r:id="Re8d7d6b5c38a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07083"/>
      <x:name val="Carlito"/>
    </x:font>
    <x:font>
      <x:sz val="10"/>
      <x:color rgb="FF1C2A39"/>
      <x:name val="Carlito"/>
    </x:font>
    <x:font>
      <x:b/>
      <x:sz val="10"/>
      <x:color rgb="FFFFFFFF"/>
      <x:name val="Carlito"/>
    </x:font>
    <x:font>
      <x:b/>
      <x:sz val="22"/>
      <x:color rgb="FF07182F"/>
      <x:name val="Carlito"/>
    </x:font>
    <x:font>
      <x:b/>
      <x:sz val="10"/>
      <x:color rgb="FF07182F"/>
      <x:name val="Carlito"/>
    </x:font>
    <x:font>
      <x:b/>
      <x:sz val="10"/>
      <x:color rgb="FF8A65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7182F"/>
      </x:patternFill>
    </x:fill>
    <x:fill>
      <x:patternFill patternType="solid">
        <x:fgColor rgb="FFF3F6F9"/>
      </x:patternFill>
    </x:fill>
    <x:fill>
      <x:patternFill patternType="solid">
        <x:fgColor rgb="FF1262A3"/>
      </x:patternFill>
    </x:fill>
    <x:fill>
      <x:patternFill patternType="solid">
        <x:fgColor rgb="FFDDF5E8"/>
      </x:patternFill>
    </x:fill>
    <x:fill>
      <x:patternFill patternType="solid">
        <x:fgColor rgb="FFFDE7E9"/>
      </x:patternFill>
    </x:fill>
    <x:fill>
      <x:patternFill patternType="solid">
        <x:fgColor rgb="FFFFF3CD"/>
      </x:patternFill>
    </x:fill>
  </x:fills>
  <x:borders count="15">
    <x:border/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top style="thin">
        <x:color rgb="FFD7E0E8"/>
      </x:top>
    </x:border>
    <x:border>
      <x:left style="thin">
        <x:color rgb="FFD7E0E8"/>
      </x:left>
    </x:border>
    <x:border>
      <x:right style="thin">
        <x:color rgb="FFD7E0E8"/>
      </x:right>
    </x:border>
    <x:border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</x:border>
    <x:border>
      <x:left style="thin">
        <x:color rgb="FFD7E0E8"/>
      </x:left>
      <x:right style="thin">
        <x:color rgb="FFD7E0E8"/>
      </x:right>
    </x:border>
    <x:border>
      <x:left style="thin">
        <x:color rgb="FFD7E0E8"/>
      </x:left>
      <x:right style="thin">
        <x:color rgb="FFD7E0E8"/>
      </x:right>
      <x:bottom style="thin">
        <x:color rgb="FFD7E0E8"/>
      </x:bottom>
    </x:border>
  </x:borders>
  <x:cellStyleXfs count="1">
    <x:xf numFmtId="0" fontId="0" fillId="0" borderId="0"/>
  </x:cellStyleXfs>
  <x:cellXfs count="1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4" xfId="0" applyNumberFormat="1" applyFont="1" applyFill="1" applyBorder="1" applyAlignment="1">
      <x:alignment horizontal="center"/>
    </x:xf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/>
    </x:xf>
    <x:xf numFmtId="0" fontId="5" fillId="3" borderId="6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4" xfId="0" applyNumberFormat="1" applyFont="1" applyFill="1" applyBorder="1" applyAlignment="1">
      <x:alignment horizontal="center"/>
    </x:xf>
    <x:xf numFmtId="0" fontId="5" fillId="6" borderId="5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5" fillId="7" borderId="6" xfId="0" applyNumberFormat="1" applyFont="1" applyFill="1" applyBorder="1" applyAlignment="1">
      <x:alignment horizontal="center"/>
    </x:xf>
    <x:xf numFmtId="0" fontId="5" fillId="7" borderId="7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 applyAlignment="1">
      <x:alignment horizontal="center" vertical="center"/>
    </x:xf>
    <x:xf numFmtId="0" fontId="5" fillId="7" borderId="5" xfId="0" applyNumberFormat="1" applyFont="1" applyFill="1" applyBorder="1" applyAlignment="1">
      <x:alignment horizontal="center" vertical="center"/>
    </x:xf>
    <x:xf numFmtId="0" fontId="5" fillId="7" borderId="6" xfId="0" applyNumberFormat="1" applyFont="1" applyFill="1" applyBorder="1" applyAlignment="1">
      <x:alignment horizontal="center" vertical="center"/>
    </x:xf>
    <x:xf numFmtId="0" fontId="5" fillId="7" borderId="7" xfId="0" applyNumberFormat="1" applyFont="1" applyFill="1" applyBorder="1" applyAlignment="1">
      <x:alignment horizontal="center" vertical="center"/>
    </x:xf>
    <x:xf numFmtId="201" fontId="5" fillId="3" borderId="4" xfId="0" applyNumberFormat="1" applyFont="1" applyFill="1" applyBorder="1" applyAlignment="1">
      <x:alignment horizontal="center" vertical="center"/>
    </x:xf>
    <x:xf numFmtId="201" fontId="5" fillId="3" borderId="5" xfId="0" applyNumberFormat="1" applyFont="1" applyFill="1" applyBorder="1" applyAlignment="1">
      <x:alignment horizontal="center" vertical="center"/>
    </x:xf>
    <x:xf numFmtId="201" fontId="5" fillId="3" borderId="6" xfId="0" applyNumberFormat="1" applyFont="1" applyFill="1" applyBorder="1" applyAlignment="1">
      <x:alignment horizontal="center" vertical="center"/>
    </x:xf>
    <x:xf numFmtId="201" fontId="5" fillId="3" borderId="7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8" xfId="0" applyNumberFormat="1" applyFont="1" applyFill="1" applyBorder="1"/>
    <x:xf numFmtId="0" fontId="3" fillId="0" borderId="5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6" xfId="0" applyNumberFormat="1" applyFont="1" applyFill="1" applyBorder="1"/>
    <x:xf numFmtId="0" fontId="3" fillId="0" borderId="11" xfId="0" applyNumberFormat="1" applyFont="1" applyFill="1" applyBorder="1"/>
    <x:xf numFmtId="0" fontId="3" fillId="0" borderId="7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1" fontId="3" fillId="0" borderId="10" xfId="0" applyNumberFormat="1" applyFont="1" applyFill="1" applyBorder="1" applyAlignment="1">
      <x:alignment vertical="top" wrapText="1"/>
    </x:xf>
    <x:xf numFmtId="201" fontId="3" fillId="0" borderId="7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201" fontId="3" fillId="0" borderId="8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1" fontId="3" fillId="0" borderId="10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201" fontId="3" fillId="0" borderId="7" xfId="0" applyNumberFormat="1" applyFont="1" applyFill="1" applyBorder="1" applyAlignment="1">
      <x:alignment vertical="center" wrapText="1"/>
    </x:xf>
    <x:xf numFmtId="201" fontId="3" fillId="0" borderId="8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1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6" fillId="3" borderId="12" xfId="0" applyNumberFormat="1" applyFont="1" applyFill="1" applyBorder="1" applyAlignment="1">
      <x:alignment vertical="top" wrapText="1"/>
    </x:xf>
    <x:xf numFmtId="0" fontId="6" fillId="3" borderId="13" xfId="0" applyNumberFormat="1" applyFont="1" applyFill="1" applyBorder="1" applyAlignment="1">
      <x:alignment vertical="top" wrapText="1"/>
    </x:xf>
    <x:xf numFmtId="0" fontId="6" fillId="3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33">
    <x:dxf>
      <x:font>
        <x:b/>
        <x:color rgb="FF137552"/>
      </x:font>
      <x:fill>
        <x:patternFill patternType="solid">
          <x:bgColor rgb="FFDDF5E8"/>
        </x:patternFill>
      </x:fill>
    </x:dxf>
    <x:dxf>
      <x:font>
        <x:b/>
        <x:color rgb="FFB32831"/>
      </x:font>
      <x:fill>
        <x:patternFill patternType="solid">
          <x:bgColor rgb="FFFDE7E9"/>
        </x:patternFill>
      </x:fill>
    </x:dxf>
    <x:dxf>
      <x:font>
        <x:b/>
        <x:color rgb="FF8A6500"/>
      </x:font>
      <x:fill>
        <x:patternFill patternType="solid">
          <x:bgColor rgb="FFFFF3CD"/>
        </x:patternFill>
      </x:fill>
    </x:dxf>
    <x:dxf>
      <x:font>
        <x:b/>
        <x:color rgb="FF1262A3"/>
      </x:font>
      <x:fill>
        <x:patternFill patternType="solid">
          <x:bgColor rgb="FFDCEEFF"/>
        </x:patternFill>
      </x:fill>
    </x:dxf>
    <x:dxf>
      <x:font>
        <x:color rgb="FF607083"/>
      </x:font>
      <x:fill>
        <x:patternFill patternType="solid">
          <x:bgColor rgb="FFE8EDF2"/>
        </x:patternFill>
      </x:fill>
    </x:dxf>
    <x:dxf>
      <x:font>
        <x:b/>
        <x:color rgb="FF137552"/>
      </x:font>
      <x:fill>
        <x:patternFill patternType="solid">
          <x:bgColor rgb="FFDDF5E8"/>
        </x:patternFill>
      </x:fill>
    </x:dxf>
    <x:dxf>
      <x:font>
        <x:b/>
        <x:color rgb="FFB32831"/>
      </x:font>
      <x:fill>
        <x:patternFill patternType="solid">
          <x:bgColor rgb="FFFDE7E9"/>
        </x:patternFill>
      </x:fill>
    </x:dxf>
    <x:dxf>
      <x:font>
        <x:b/>
        <x:color rgb="FF8A6500"/>
      </x:font>
      <x:fill>
        <x:patternFill patternType="solid">
          <x:bgColor rgb="FFFFF3CD"/>
        </x:patternFill>
      </x:fill>
    </x:dxf>
    <x:dxf>
      <x:font>
        <x:b/>
        <x:color rgb="FF1262A3"/>
      </x:font>
      <x:fill>
        <x:patternFill patternType="solid">
          <x:bgColor rgb="FFDCEEFF"/>
        </x:patternFill>
      </x:fill>
    </x:dxf>
    <x:dxf>
      <x:font>
        <x:color rgb="FF607083"/>
      </x:font>
      <x:fill>
        <x:patternFill patternType="solid">
          <x:bgColor rgb="FFE8EDF2"/>
        </x:patternFill>
      </x:fill>
    </x:dxf>
    <x:dxf>
      <x:font>
        <x:b/>
        <x:color rgb="FF137552"/>
      </x:font>
      <x:fill>
        <x:patternFill patternType="solid">
          <x:bgColor rgb="FFDDF5E8"/>
        </x:patternFill>
      </x:fill>
    </x:dxf>
    <x:dxf>
      <x:font>
        <x:b/>
        <x:color rgb="FFB32831"/>
      </x:font>
      <x:fill>
        <x:patternFill patternType="solid">
          <x:bgColor rgb="FFFDE7E9"/>
        </x:patternFill>
      </x:fill>
    </x:dxf>
    <x:dxf>
      <x:font>
        <x:b/>
        <x:color rgb="FF8A6500"/>
      </x:font>
      <x:fill>
        <x:patternFill patternType="solid">
          <x:bgColor rgb="FFFFF3CD"/>
        </x:patternFill>
      </x:fill>
    </x:dxf>
    <x:dxf>
      <x:font>
        <x:b/>
        <x:color rgb="FF1262A3"/>
      </x:font>
      <x:fill>
        <x:patternFill patternType="solid">
          <x:bgColor rgb="FFDCEEFF"/>
        </x:patternFill>
      </x:fill>
    </x:dxf>
    <x:dxf>
      <x:font>
        <x:color rgb="FF607083"/>
      </x:font>
      <x:fill>
        <x:patternFill patternType="solid">
          <x:bgColor rgb="FFE8EDF2"/>
        </x:patternFill>
      </x:fill>
    </x:dxf>
    <x:dxf>
      <x:font>
        <x:b/>
        <x:color rgb="FFB32831"/>
      </x:font>
      <x:fill>
        <x:patternFill patternType="solid">
          <x:bgColor rgb="FFFDE7E9"/>
        </x:patternFill>
      </x:fill>
    </x:dxf>
    <x:dxf>
      <x:font>
        <x:b/>
        <x:color rgb="FF8A6500"/>
      </x:font>
      <x:fill>
        <x:patternFill patternType="solid">
          <x:bgColor rgb="FFFFF3CD"/>
        </x:patternFill>
      </x:fill>
    </x:dxf>
    <x:dxf>
      <x:font>
        <x:b/>
        <x:color rgb="FF137552"/>
      </x:font>
      <x:fill>
        <x:patternFill patternType="solid">
          <x:bgColor rgb="FFDDF5E8"/>
        </x:patternFill>
      </x:fill>
    </x:dxf>
    <x:dxf>
      <x:font>
        <x:b/>
        <x:color rgb="FF137552"/>
      </x:font>
      <x:fill>
        <x:patternFill patternType="solid">
          <x:bgColor rgb="FFDDF5E8"/>
        </x:patternFill>
      </x:fill>
    </x:dxf>
    <x:dxf>
      <x:font>
        <x:b/>
        <x:color rgb="FFB32831"/>
      </x:font>
      <x:fill>
        <x:patternFill patternType="solid">
          <x:bgColor rgb="FFFDE7E9"/>
        </x:patternFill>
      </x:fill>
    </x:dxf>
    <x:dxf>
      <x:font>
        <x:b/>
        <x:color rgb="FF8A6500"/>
      </x:font>
      <x:fill>
        <x:patternFill patternType="solid">
          <x:bgColor rgb="FFFFF3CD"/>
        </x:patternFill>
      </x:fill>
    </x:dxf>
    <x:dxf>
      <x:font>
        <x:b/>
        <x:color rgb="FF1262A3"/>
      </x:font>
      <x:fill>
        <x:patternFill patternType="solid">
          <x:bgColor rgb="FFDCEEFF"/>
        </x:patternFill>
      </x:fill>
    </x:dxf>
    <x:dxf>
      <x:font>
        <x:color rgb="FF607083"/>
      </x:font>
      <x:fill>
        <x:patternFill patternType="solid">
          <x:bgColor rgb="FFE8EDF2"/>
        </x:patternFill>
      </x:fill>
    </x:dxf>
    <x:dxf>
      <x:font>
        <x:b/>
        <x:color rgb="FF137552"/>
      </x:font>
      <x:fill>
        <x:patternFill patternType="solid">
          <x:bgColor rgb="FFDDF5E8"/>
        </x:patternFill>
      </x:fill>
    </x:dxf>
    <x:dxf>
      <x:font>
        <x:b/>
        <x:color rgb="FFB32831"/>
      </x:font>
      <x:fill>
        <x:patternFill patternType="solid">
          <x:bgColor rgb="FFFDE7E9"/>
        </x:patternFill>
      </x:fill>
    </x:dxf>
    <x:dxf>
      <x:font>
        <x:b/>
        <x:color rgb="FF137552"/>
      </x:font>
      <x:fill>
        <x:patternFill patternType="solid">
          <x:bgColor rgb="FFDDF5E8"/>
        </x:patternFill>
      </x:fill>
    </x:dxf>
    <x:dxf>
      <x:font>
        <x:b/>
        <x:color rgb="FFB32831"/>
      </x:font>
      <x:fill>
        <x:patternFill patternType="solid">
          <x:bgColor rgb="FFFDE7E9"/>
        </x:patternFill>
      </x:fill>
    </x:dxf>
    <x:dxf>
      <x:font>
        <x:b/>
        <x:color rgb="FF8A6500"/>
      </x:font>
      <x:fill>
        <x:patternFill patternType="solid">
          <x:bgColor rgb="FFFFF3CD"/>
        </x:patternFill>
      </x:fill>
    </x:dxf>
    <x:dxf>
      <x:font>
        <x:b/>
        <x:color rgb="FF137552"/>
      </x:font>
      <x:fill>
        <x:patternFill patternType="solid">
          <x:bgColor rgb="FFDDF5E8"/>
        </x:patternFill>
      </x:fill>
    </x:dxf>
    <x:dxf>
      <x:font>
        <x:b/>
        <x:color rgb="FFB32831"/>
      </x:font>
      <x:fill>
        <x:patternFill patternType="solid">
          <x:bgColor rgb="FFFDE7E9"/>
        </x:patternFill>
      </x:fill>
    </x:dxf>
    <x:dxf>
      <x:font>
        <x:b/>
        <x:color rgb="FF8A6500"/>
      </x:font>
      <x:fill>
        <x:patternFill patternType="solid">
          <x:bgColor rgb="FFFFF3CD"/>
        </x:patternFill>
      </x:fill>
    </x:dxf>
    <x:dxf>
      <x:font>
        <x:b/>
        <x:color rgb="FF1262A3"/>
      </x:font>
      <x:fill>
        <x:patternFill patternType="solid">
          <x:bgColor rgb="FFDCEEFF"/>
        </x:patternFill>
      </x:fill>
    </x:dxf>
    <x:dxf>
      <x:font>
        <x:color rgb="FF607083"/>
      </x:font>
      <x:fill>
        <x:patternFill patternType="solid">
          <x:bgColor rgb="FFE8ED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6e4fa49ad4d25" /><Relationship Type="http://schemas.openxmlformats.org/officeDocument/2006/relationships/theme" Target="/xl/theme/theme1.xml" Id="R32e86ed682ac4ee7" /><Relationship Type="http://schemas.openxmlformats.org/officeDocument/2006/relationships/sharedStrings" Target="/xl/sharedStrings.xml" Id="R83f39ef368594758" /><Relationship Type="http://schemas.openxmlformats.org/officeDocument/2006/relationships/worksheet" Target="/xl/worksheets/sheet1.xml" Id="Rbcb271b66b3943b0" /><Relationship Type="http://schemas.openxmlformats.org/officeDocument/2006/relationships/worksheet" Target="/xl/worksheets/sheet2.xml" Id="R82e9048ffcfd448a" /><Relationship Type="http://schemas.openxmlformats.org/officeDocument/2006/relationships/worksheet" Target="/xl/worksheets/sheet3.xml" Id="R3638fd9a11424d98" /><Relationship Type="http://schemas.openxmlformats.org/officeDocument/2006/relationships/worksheet" Target="/xl/worksheets/sheet4.xml" Id="R597822c1df204c30" /><Relationship Type="http://schemas.openxmlformats.org/officeDocument/2006/relationships/worksheet" Target="/xl/worksheets/sheet5.xml" Id="R9b237b825abf4442" /><Relationship Type="http://schemas.openxmlformats.org/officeDocument/2006/relationships/worksheet" Target="/xl/worksheets/sheet6.xml" Id="Re8d7d6b5c38a40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b280d1130343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Test Status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'Test Summary'!$J$11:$J$16</c:f>
              <c:strCache>
                <c:ptCount val="0"/>
              </c:strCache>
            </c:strRef>
          </c:cat>
          <c:val>
            <c:numRef>
              <c:f>'Test Summary'!$K$11:$K$16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17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b280d1130343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sTable" displayName="TestCasesTable" ref="A5:T107" headerRowCount="1" totalsRowCount="0" totalsRowShown="0">
  <x:tableColumns count="20">
    <x:tableColumn id="1" name="Execute?"/>
    <x:tableColumn id="2" name="Test Case ID"/>
    <x:tableColumn id="3" name="Requirement ID"/>
    <x:tableColumn id="4" name="Module"/>
    <x:tableColumn id="5" name="Test Scenario"/>
    <x:tableColumn id="6" name="Preconditions"/>
    <x:tableColumn id="7" name="Test Steps"/>
    <x:tableColumn id="8" name="Test Data"/>
    <x:tableColumn id="9" name="Expected Result"/>
    <x:tableColumn id="10" name="Test Type"/>
    <x:tableColumn id="11" name="Priority"/>
    <x:tableColumn id="12" name="Role"/>
    <x:tableColumn id="13" name="Environment"/>
    <x:tableColumn id="14" name="Actual Result"/>
    <x:tableColumn id="15" name="Status"/>
    <x:tableColumn id="16" name="Evidence Link"/>
    <x:tableColumn id="17" name="Tester"/>
    <x:tableColumn id="18" name="Execution Date"/>
    <x:tableColumn id="19" name="Defect ID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TMTable" displayName="RTMTable" ref="A4:K35" headerRowCount="1" totalsRowCount="0" totalsRowShown="0">
  <x:tableColumns count="11">
    <x:tableColumn id="1" name="Requirement ID"/>
    <x:tableColumn id="2" name="Module"/>
    <x:tableColumn id="3" name="Requirement"/>
    <x:tableColumn id="4" name="Source"/>
    <x:tableColumn id="5" name="Priority"/>
    <x:tableColumn id="6" name="Test Case Count"/>
    <x:tableColumn id="7" name="Pass"/>
    <x:tableColumn id="8" name="Fail"/>
    <x:tableColumn id="9" name="Not Run"/>
    <x:tableColumn id="10" name="Coverage"/>
    <x:tableColumn id="11" name="Execution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DataTable" displayName="TestDataTable" ref="A4:H20" headerRowCount="1" totalsRowCount="0" totalsRowShown="0">
  <x:tableColumns count="8">
    <x:tableColumn id="1" name="Data ID"/>
    <x:tableColumn id="2" name="Category"/>
    <x:tableColumn id="3" name="Name"/>
    <x:tableColumn id="4" name="Value / Example"/>
    <x:tableColumn id="5" name="Used By"/>
    <x:tableColumn id="6" name="Expected Use"/>
    <x:tableColumn id="7" name="Sensitivity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fectLogTable" displayName="DefectLogTable" ref="A4:P104" headerRowCount="1" totalsRowCount="0" totalsRowShown="0">
  <x:tableColumns count="16">
    <x:tableColumn id="1" name="Defect ID"/>
    <x:tableColumn id="2" name="Summary"/>
    <x:tableColumn id="3" name="Test Case ID"/>
    <x:tableColumn id="4" name="Module"/>
    <x:tableColumn id="5" name="Severity"/>
    <x:tableColumn id="6" name="Priority"/>
    <x:tableColumn id="7" name="Status"/>
    <x:tableColumn id="8" name="Environment"/>
    <x:tableColumn id="9" name="Reporter"/>
    <x:tableColumn id="10" name="Owner"/>
    <x:tableColumn id="11" name="Found Date"/>
    <x:tableColumn id="12" name="Target Fix Date"/>
    <x:tableColumn id="13" name="Retest Date"/>
    <x:tableColumn id="14" name="Resolution"/>
    <x:tableColumn id="15" name="Evidence Link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325fe01eaec43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6ca2ad780a40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01d2c1ff1044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2d5628bfae4c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0121dcb2454ea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5" hidden="0" customWidth="1"/>
    <x:col min="8" max="8" width="28" hidden="0" customWidth="1"/>
    <x:col min="9" max="9" width="4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38" customHeight="1">
      <x:c r="A1" s="4" t="str">
        <x:v>ThaiCon CMMS — Test Execution Summary</x:v>
      </x:c>
      <x:c r="B1" s="4" t="str">
        <x:v>ThaiCon CMMS — Test Execution Summary</x:v>
      </x:c>
      <x:c r="C1" s="4" t="str">
        <x:v>ThaiCon CMMS — Test Execution Summary</x:v>
      </x:c>
      <x:c r="D1" s="4" t="str">
        <x:v>ThaiCon CMMS — Test Execution Summary</x:v>
      </x:c>
      <x:c r="E1" s="4" t="str">
        <x:v>ThaiCon CMMS — Test Execution Summary</x:v>
      </x:c>
      <x:c r="F1" s="4" t="str">
        <x:v>ThaiCon CMMS — Test Execution Summary</x:v>
      </x:c>
      <x:c r="G1" s="4" t="str">
        <x:v>ThaiCon CMMS — Test Execution Summary</x:v>
      </x:c>
      <x:c r="H1" s="4" t="str">
        <x:v>ThaiCon CMMS — Test Execution Summary</x:v>
      </x:c>
      <x:c r="I1" s="4" t="str">
        <x:v>ThaiCon CMMS — Test Execution Summary</x:v>
      </x:c>
      <x:c r="J1" s="4" t="str">
        <x:v>ThaiCon CMMS — Test Execution Summary</x:v>
      </x:c>
      <x:c r="K1" s="4" t="str">
        <x:v>ThaiCon CMMS — Test Execution Summary</x:v>
      </x:c>
      <x:c r="L1" s="4" t="str">
        <x:v>ThaiCon CMMS — Test Execution Summary</x:v>
      </x:c>
      <x:c r="M1" s="4" t="str">
        <x:v>ThaiCon CMMS — Test Execution Summary</x:v>
      </x:c>
      <x:c r="N1" s="4" t="str">
        <x:v>ThaiCon CMMS — Test Execution Summary</x:v>
      </x:c>
      <x:c r="O1" s="4" t="str">
        <x:v>ThaiCon CMMS — Test Execution Summary</x:v>
      </x:c>
      <x:c r="P1" s="4" t="str">
        <x:v>ThaiCon CMMS — Test Execution Summary</x:v>
      </x:c>
      <x:c r="Q1" s="4" t="str">
        <x:v>ThaiCon CMMS — Test Execution Summary</x:v>
      </x:c>
    </x:row>
    <x:row r="2" ht="24" customHeight="1">
      <x:c r="A2" s="8" t="str">
        <x:v>เอกสารทดสอบมาตรฐานสำหรับ SIT/UAT/Regression | อัปเดตผลในชีต Test Cases และ Defect Log</x:v>
      </x:c>
      <x:c r="B2" s="8" t="str">
        <x:v>เอกสารทดสอบมาตรฐานสำหรับ SIT/UAT/Regression | อัปเดตผลในชีต Test Cases และ Defect Log</x:v>
      </x:c>
      <x:c r="C2" s="8" t="str">
        <x:v>เอกสารทดสอบมาตรฐานสำหรับ SIT/UAT/Regression | อัปเดตผลในชีต Test Cases และ Defect Log</x:v>
      </x:c>
      <x:c r="D2" s="8" t="str">
        <x:v>เอกสารทดสอบมาตรฐานสำหรับ SIT/UAT/Regression | อัปเดตผลในชีต Test Cases และ Defect Log</x:v>
      </x:c>
      <x:c r="E2" s="8" t="str">
        <x:v>เอกสารทดสอบมาตรฐานสำหรับ SIT/UAT/Regression | อัปเดตผลในชีต Test Cases และ Defect Log</x:v>
      </x:c>
      <x:c r="F2" s="8" t="str">
        <x:v>เอกสารทดสอบมาตรฐานสำหรับ SIT/UAT/Regression | อัปเดตผลในชีต Test Cases และ Defect Log</x:v>
      </x:c>
      <x:c r="G2" s="8" t="str">
        <x:v>เอกสารทดสอบมาตรฐานสำหรับ SIT/UAT/Regression | อัปเดตผลในชีต Test Cases และ Defect Log</x:v>
      </x:c>
      <x:c r="H2" s="8" t="str">
        <x:v>เอกสารทดสอบมาตรฐานสำหรับ SIT/UAT/Regression | อัปเดตผลในชีต Test Cases และ Defect Log</x:v>
      </x:c>
      <x:c r="I2" s="8" t="str">
        <x:v>เอกสารทดสอบมาตรฐานสำหรับ SIT/UAT/Regression | อัปเดตผลในชีต Test Cases และ Defect Log</x:v>
      </x:c>
      <x:c r="J2" s="8" t="str">
        <x:v>เอกสารทดสอบมาตรฐานสำหรับ SIT/UAT/Regression | อัปเดตผลในชีต Test Cases และ Defect Log</x:v>
      </x:c>
      <x:c r="K2" s="8" t="str">
        <x:v>เอกสารทดสอบมาตรฐานสำหรับ SIT/UAT/Regression | อัปเดตผลในชีต Test Cases และ Defect Log</x:v>
      </x:c>
      <x:c r="L2" s="8" t="str">
        <x:v>เอกสารทดสอบมาตรฐานสำหรับ SIT/UAT/Regression | อัปเดตผลในชีต Test Cases และ Defect Log</x:v>
      </x:c>
      <x:c r="M2" s="8" t="str">
        <x:v>เอกสารทดสอบมาตรฐานสำหรับ SIT/UAT/Regression | อัปเดตผลในชีต Test Cases และ Defect Log</x:v>
      </x:c>
      <x:c r="N2" s="8" t="str">
        <x:v>เอกสารทดสอบมาตรฐานสำหรับ SIT/UAT/Regression | อัปเดตผลในชีต Test Cases และ Defect Log</x:v>
      </x:c>
      <x:c r="O2" s="8" t="str">
        <x:v>เอกสารทดสอบมาตรฐานสำหรับ SIT/UAT/Regression | อัปเดตผลในชีต Test Cases และ Defect Log</x:v>
      </x:c>
      <x:c r="P2" s="8" t="str">
        <x:v>เอกสารทดสอบมาตรฐานสำหรับ SIT/UAT/Regression | อัปเดตผลในชีต Test Cases และ Defect Log</x:v>
      </x:c>
      <x:c r="Q2" s="8" t="str">
        <x:v>เอกสารทดสอบมาตรฐานสำหรับ SIT/UAT/Regression | อัปเดตผลในชีต Test Cases และ Defect Log</x:v>
      </x:c>
    </x:row>
    <x:row r="3">
      <x:c r="A3" s="13" t="str">
        <x:v>Document Version</x:v>
      </x:c>
      <x:c r="B3" s="14" t="str">
        <x:v>1.0</x:v>
      </x:c>
      <x:c r="C3" s="14"/>
      <x:c r="D3" s="14" t="str">
        <x:v>Prepared Date</x:v>
      </x:c>
      <x:c r="E3" s="16" t="n">
        <x:v>46255</x:v>
      </x:c>
      <x:c r="F3" s="14"/>
      <x:c r="G3" s="14" t="str">
        <x:v>System Version</x:v>
      </x:c>
      <x:c r="H3" s="14" t="str">
        <x:v>Local working tree — 2026-08-21</x:v>
      </x:c>
      <x:c r="I3" s="14"/>
      <x:c r="J3" s="14" t="str">
        <x:v>Default Environment</x:v>
      </x:c>
      <x:c r="K3" s="15" t="str">
        <x:v>UAT</x:v>
      </x:c>
      <x:c r="L3" s="127"/>
      <x:c r="M3" s="127"/>
      <x:c r="N3" s="127"/>
      <x:c r="O3" s="127"/>
      <x:c r="P3" s="127"/>
      <x:c r="Q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  <x:c r="Q4" s="127"/>
    </x:row>
    <x:row r="5">
      <x:c r="A5" s="20" t="str">
        <x:v>TOTAL</x:v>
      </x:c>
      <x:c r="B5" s="20" t="str">
        <x:v>TOTAL</x:v>
      </x:c>
      <x:c r="C5" s="127"/>
      <x:c r="D5" s="20" t="str">
        <x:v>PASS</x:v>
      </x:c>
      <x:c r="E5" s="20" t="str">
        <x:v>PASS</x:v>
      </x:c>
      <x:c r="F5" s="127"/>
      <x:c r="G5" s="20" t="str">
        <x:v>FAIL</x:v>
      </x:c>
      <x:c r="H5" s="20" t="str">
        <x:v>FAIL</x:v>
      </x:c>
      <x:c r="I5" s="127"/>
      <x:c r="J5" s="20" t="str">
        <x:v>BLOCKED</x:v>
      </x:c>
      <x:c r="K5" s="20" t="str">
        <x:v>BLOCKED</x:v>
      </x:c>
      <x:c r="L5" s="127"/>
      <x:c r="M5" s="20" t="str">
        <x:v>NOT RUN</x:v>
      </x:c>
      <x:c r="N5" s="20" t="str">
        <x:v>NOT RUN</x:v>
      </x:c>
      <x:c r="O5" s="127"/>
      <x:c r="P5" s="20" t="str">
        <x:v>PASS RATE</x:v>
      </x:c>
      <x:c r="Q5" s="20" t="str">
        <x:v>PASS RATE</x:v>
      </x:c>
    </x:row>
    <x:row r="6">
      <x:c r="A6" s="30" t="n">
        <x:f>COUNTA('Test Cases'!$B$6:$B$205)</x:f>
        <x:v>102</x:v>
      </x:c>
      <x:c r="B6" s="31"/>
      <x:c r="C6" s="127"/>
      <x:c r="D6" s="44" t="n">
        <x:f>COUNTIF('Test Cases'!$O$6:$O$205,"Pass")</x:f>
        <x:v>0</x:v>
      </x:c>
      <x:c r="E6" s="45"/>
      <x:c r="F6" s="127"/>
      <x:c r="G6" s="58" t="n">
        <x:f>COUNTIF('Test Cases'!$O$6:$O$205,"Fail")</x:f>
        <x:v>0</x:v>
      </x:c>
      <x:c r="H6" s="59"/>
      <x:c r="I6" s="127"/>
      <x:c r="J6" s="72" t="n">
        <x:f>COUNTIF('Test Cases'!$O$6:$O$205,"Blocked")</x:f>
        <x:v>0</x:v>
      </x:c>
      <x:c r="K6" s="73"/>
      <x:c r="L6" s="127"/>
      <x:c r="M6" s="30" t="n">
        <x:f>COUNTIF('Test Cases'!$O$6:$O$205,"Not Run")</x:f>
        <x:v>102</x:v>
      </x:c>
      <x:c r="N6" s="31"/>
      <x:c r="O6" s="127"/>
      <x:c r="P6" s="76" t="n">
        <x:f>IF((D6+G6)=0,0,D6/(D6+G6))</x:f>
        <x:v>0</x:v>
      </x:c>
      <x:c r="Q6" s="77"/>
    </x:row>
    <x:row r="7">
      <x:c r="A7" s="32"/>
      <x:c r="B7" s="33"/>
      <x:c r="C7" s="127"/>
      <x:c r="D7" s="46"/>
      <x:c r="E7" s="47"/>
      <x:c r="F7" s="127"/>
      <x:c r="G7" s="60"/>
      <x:c r="H7" s="61"/>
      <x:c r="I7" s="127"/>
      <x:c r="J7" s="74"/>
      <x:c r="K7" s="75"/>
      <x:c r="L7" s="127"/>
      <x:c r="M7" s="32"/>
      <x:c r="N7" s="33"/>
      <x:c r="O7" s="127"/>
      <x:c r="P7" s="78"/>
      <x:c r="Q7" s="79"/>
    </x:row>
    <x:row r="8">
      <x:c r="A8" s="127"/>
      <x:c r="B8" s="127"/>
      <x:c r="C8" s="127"/>
      <x:c r="D8" s="127"/>
      <x:c r="E8" s="127"/>
      <x:c r="F8" s="127"/>
      <x:c r="G8" s="127"/>
      <x:c r="H8" s="127"/>
      <x:c r="I8" s="127"/>
      <x:c r="J8" s="127"/>
      <x:c r="K8" s="127"/>
      <x:c r="L8" s="127"/>
      <x:c r="M8" s="127"/>
      <x:c r="N8" s="127"/>
      <x:c r="O8" s="127"/>
      <x:c r="P8" s="127"/>
      <x:c r="Q8" s="127"/>
    </x:row>
    <x:row r="9">
      <x:c r="A9" s="127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7"/>
      <x:c r="P9" s="127"/>
      <x:c r="Q9" s="127"/>
    </x:row>
    <x:row r="10" ht="30" customHeight="1">
      <x:c r="A10" s="89" t="str">
        <x:v>Module</x:v>
      </x:c>
      <x:c r="B10" s="90" t="str">
        <x:v>Total</x:v>
      </x:c>
      <x:c r="C10" s="90" t="str">
        <x:v>Pass</x:v>
      </x:c>
      <x:c r="D10" s="90" t="str">
        <x:v>Fail</x:v>
      </x:c>
      <x:c r="E10" s="90" t="str">
        <x:v>Blocked</x:v>
      </x:c>
      <x:c r="F10" s="90" t="str">
        <x:v>Not Run</x:v>
      </x:c>
      <x:c r="G10" s="91" t="str">
        <x:v>Pass Rate</x:v>
      </x:c>
      <x:c r="H10" s="127"/>
      <x:c r="I10" s="127"/>
      <x:c r="J10" s="89" t="str">
        <x:v>Status</x:v>
      </x:c>
      <x:c r="K10" s="91" t="str">
        <x:v>Count</x:v>
      </x:c>
      <x:c r="L10" s="127"/>
      <x:c r="M10" s="127"/>
      <x:c r="N10" s="127"/>
      <x:c r="O10" s="127"/>
      <x:c r="P10" s="127"/>
      <x:c r="Q10" s="127"/>
    </x:row>
    <x:row r="11">
      <x:c r="A11" s="128" t="str">
        <x:v>Authentication</x:v>
      </x:c>
      <x:c r="B11" s="129" t="n">
        <x:f>COUNTIF('Test Cases'!$D$6:$D$205,A11)</x:f>
        <x:v>7</x:v>
      </x:c>
      <x:c r="C11" s="129" t="n">
        <x:f>COUNTIFS('Test Cases'!$D$6:$D$205,A11,'Test Cases'!$O$6:$O$205,"Pass")</x:f>
        <x:v>0</x:v>
      </x:c>
      <x:c r="D11" s="129" t="n">
        <x:f>COUNTIFS('Test Cases'!$D$6:$D$205,A11,'Test Cases'!$O$6:$O$205,"Fail")</x:f>
        <x:v>0</x:v>
      </x:c>
      <x:c r="E11" s="129" t="n">
        <x:f>COUNTIFS('Test Cases'!$D$6:$D$205,A11,'Test Cases'!$O$6:$O$205,"Blocked")</x:f>
        <x:v>0</x:v>
      </x:c>
      <x:c r="F11" s="129" t="n">
        <x:f>COUNTIFS('Test Cases'!$D$6:$D$205,A11,'Test Cases'!$O$6:$O$205,"Not Run")</x:f>
        <x:v>7</x:v>
      </x:c>
      <x:c r="G11" s="130" t="n">
        <x:f>IF((C11+D11)=0,0,C11/(C11+D11))</x:f>
        <x:v>0</x:v>
      </x:c>
      <x:c r="H11" s="127"/>
      <x:c r="I11" s="127"/>
      <x:c r="J11" s="131" t="str">
        <x:v>Pass</x:v>
      </x:c>
      <x:c r="K11" s="132" t="n">
        <x:f>COUNTIF('Test Cases'!$O$6:$O$205,J11)</x:f>
        <x:v>0</x:v>
      </x:c>
      <x:c r="L11" s="127"/>
      <x:c r="M11" s="127"/>
      <x:c r="N11" s="127"/>
      <x:c r="O11" s="127"/>
      <x:c r="P11" s="127"/>
      <x:c r="Q11" s="127"/>
    </x:row>
    <x:row r="12">
      <x:c r="A12" s="133" t="str">
        <x:v>Jobsite &amp; Access</x:v>
      </x:c>
      <x:c r="B12" s="134" t="n">
        <x:f>COUNTIF('Test Cases'!$D$6:$D$205,A12)</x:f>
        <x:v>6</x:v>
      </x:c>
      <x:c r="C12" s="134" t="n">
        <x:f>COUNTIFS('Test Cases'!$D$6:$D$205,A12,'Test Cases'!$O$6:$O$205,"Pass")</x:f>
        <x:v>0</x:v>
      </x:c>
      <x:c r="D12" s="134" t="n">
        <x:f>COUNTIFS('Test Cases'!$D$6:$D$205,A12,'Test Cases'!$O$6:$O$205,"Fail")</x:f>
        <x:v>0</x:v>
      </x:c>
      <x:c r="E12" s="134" t="n">
        <x:f>COUNTIFS('Test Cases'!$D$6:$D$205,A12,'Test Cases'!$O$6:$O$205,"Blocked")</x:f>
        <x:v>0</x:v>
      </x:c>
      <x:c r="F12" s="134" t="n">
        <x:f>COUNTIFS('Test Cases'!$D$6:$D$205,A12,'Test Cases'!$O$6:$O$205,"Not Run")</x:f>
        <x:v>6</x:v>
      </x:c>
      <x:c r="G12" s="135" t="n">
        <x:f>IF((C12+D12)=0,0,C12/(C12+D12))</x:f>
        <x:v>0</x:v>
      </x:c>
      <x:c r="H12" s="127"/>
      <x:c r="I12" s="127"/>
      <x:c r="J12" s="136" t="str">
        <x:v>Fail</x:v>
      </x:c>
      <x:c r="K12" s="137" t="n">
        <x:f>COUNTIF('Test Cases'!$O$6:$O$205,J12)</x:f>
        <x:v>0</x:v>
      </x:c>
      <x:c r="L12" s="127"/>
      <x:c r="M12" s="127"/>
      <x:c r="N12" s="127"/>
      <x:c r="O12" s="127"/>
      <x:c r="P12" s="127"/>
      <x:c r="Q12" s="127"/>
    </x:row>
    <x:row r="13">
      <x:c r="A13" s="133" t="str">
        <x:v>Dashboard</x:v>
      </x:c>
      <x:c r="B13" s="134" t="n">
        <x:f>COUNTIF('Test Cases'!$D$6:$D$205,A13)</x:f>
        <x:v>6</x:v>
      </x:c>
      <x:c r="C13" s="134" t="n">
        <x:f>COUNTIFS('Test Cases'!$D$6:$D$205,A13,'Test Cases'!$O$6:$O$205,"Pass")</x:f>
        <x:v>0</x:v>
      </x:c>
      <x:c r="D13" s="134" t="n">
        <x:f>COUNTIFS('Test Cases'!$D$6:$D$205,A13,'Test Cases'!$O$6:$O$205,"Fail")</x:f>
        <x:v>0</x:v>
      </x:c>
      <x:c r="E13" s="134" t="n">
        <x:f>COUNTIFS('Test Cases'!$D$6:$D$205,A13,'Test Cases'!$O$6:$O$205,"Blocked")</x:f>
        <x:v>0</x:v>
      </x:c>
      <x:c r="F13" s="134" t="n">
        <x:f>COUNTIFS('Test Cases'!$D$6:$D$205,A13,'Test Cases'!$O$6:$O$205,"Not Run")</x:f>
        <x:v>6</x:v>
      </x:c>
      <x:c r="G13" s="135" t="n">
        <x:f>IF((C13+D13)=0,0,C13/(C13+D13))</x:f>
        <x:v>0</x:v>
      </x:c>
      <x:c r="H13" s="127"/>
      <x:c r="I13" s="127"/>
      <x:c r="J13" s="136" t="str">
        <x:v>Blocked</x:v>
      </x:c>
      <x:c r="K13" s="137" t="n">
        <x:f>COUNTIF('Test Cases'!$O$6:$O$205,J13)</x:f>
        <x:v>0</x:v>
      </x:c>
      <x:c r="L13" s="127"/>
      <x:c r="M13" s="127"/>
      <x:c r="N13" s="127"/>
      <x:c r="O13" s="127"/>
      <x:c r="P13" s="127"/>
      <x:c r="Q13" s="127"/>
    </x:row>
    <x:row r="14">
      <x:c r="A14" s="133" t="str">
        <x:v>PM Plan</x:v>
      </x:c>
      <x:c r="B14" s="134" t="n">
        <x:f>COUNTIF('Test Cases'!$D$6:$D$205,A14)</x:f>
        <x:v>10</x:v>
      </x:c>
      <x:c r="C14" s="134" t="n">
        <x:f>COUNTIFS('Test Cases'!$D$6:$D$205,A14,'Test Cases'!$O$6:$O$205,"Pass")</x:f>
        <x:v>0</x:v>
      </x:c>
      <x:c r="D14" s="134" t="n">
        <x:f>COUNTIFS('Test Cases'!$D$6:$D$205,A14,'Test Cases'!$O$6:$O$205,"Fail")</x:f>
        <x:v>0</x:v>
      </x:c>
      <x:c r="E14" s="134" t="n">
        <x:f>COUNTIFS('Test Cases'!$D$6:$D$205,A14,'Test Cases'!$O$6:$O$205,"Blocked")</x:f>
        <x:v>0</x:v>
      </x:c>
      <x:c r="F14" s="134" t="n">
        <x:f>COUNTIFS('Test Cases'!$D$6:$D$205,A14,'Test Cases'!$O$6:$O$205,"Not Run")</x:f>
        <x:v>10</x:v>
      </x:c>
      <x:c r="G14" s="135" t="n">
        <x:f>IF((C14+D14)=0,0,C14/(C14+D14))</x:f>
        <x:v>0</x:v>
      </x:c>
      <x:c r="H14" s="127"/>
      <x:c r="I14" s="127"/>
      <x:c r="J14" s="136" t="str">
        <x:v>In Progress</x:v>
      </x:c>
      <x:c r="K14" s="137" t="n">
        <x:f>COUNTIF('Test Cases'!$O$6:$O$205,J14)</x:f>
        <x:v>0</x:v>
      </x:c>
      <x:c r="L14" s="127"/>
      <x:c r="M14" s="127"/>
      <x:c r="N14" s="127"/>
      <x:c r="O14" s="127"/>
      <x:c r="P14" s="127"/>
      <x:c r="Q14" s="127"/>
    </x:row>
    <x:row r="15">
      <x:c r="A15" s="133" t="str">
        <x:v>Work Orders</x:v>
      </x:c>
      <x:c r="B15" s="134" t="n">
        <x:f>COUNTIF('Test Cases'!$D$6:$D$205,A15)</x:f>
        <x:v>8</x:v>
      </x:c>
      <x:c r="C15" s="134" t="n">
        <x:f>COUNTIFS('Test Cases'!$D$6:$D$205,A15,'Test Cases'!$O$6:$O$205,"Pass")</x:f>
        <x:v>0</x:v>
      </x:c>
      <x:c r="D15" s="134" t="n">
        <x:f>COUNTIFS('Test Cases'!$D$6:$D$205,A15,'Test Cases'!$O$6:$O$205,"Fail")</x:f>
        <x:v>0</x:v>
      </x:c>
      <x:c r="E15" s="134" t="n">
        <x:f>COUNTIFS('Test Cases'!$D$6:$D$205,A15,'Test Cases'!$O$6:$O$205,"Blocked")</x:f>
        <x:v>0</x:v>
      </x:c>
      <x:c r="F15" s="134" t="n">
        <x:f>COUNTIFS('Test Cases'!$D$6:$D$205,A15,'Test Cases'!$O$6:$O$205,"Not Run")</x:f>
        <x:v>8</x:v>
      </x:c>
      <x:c r="G15" s="135" t="n">
        <x:f>IF((C15+D15)=0,0,C15/(C15+D15))</x:f>
        <x:v>0</x:v>
      </x:c>
      <x:c r="H15" s="127"/>
      <x:c r="I15" s="127"/>
      <x:c r="J15" s="136" t="str">
        <x:v>Not Run</x:v>
      </x:c>
      <x:c r="K15" s="137" t="n">
        <x:f>COUNTIF('Test Cases'!$O$6:$O$205,J15)</x:f>
        <x:v>102</x:v>
      </x:c>
      <x:c r="L15" s="127"/>
      <x:c r="M15" s="127"/>
      <x:c r="N15" s="127"/>
      <x:c r="O15" s="127"/>
      <x:c r="P15" s="127"/>
      <x:c r="Q15" s="127"/>
    </x:row>
    <x:row r="16">
      <x:c r="A16" s="133" t="str">
        <x:v>Service Reports</x:v>
      </x:c>
      <x:c r="B16" s="134" t="n">
        <x:f>COUNTIF('Test Cases'!$D$6:$D$205,A16)</x:f>
        <x:v>16</x:v>
      </x:c>
      <x:c r="C16" s="134" t="n">
        <x:f>COUNTIFS('Test Cases'!$D$6:$D$205,A16,'Test Cases'!$O$6:$O$205,"Pass")</x:f>
        <x:v>0</x:v>
      </x:c>
      <x:c r="D16" s="134" t="n">
        <x:f>COUNTIFS('Test Cases'!$D$6:$D$205,A16,'Test Cases'!$O$6:$O$205,"Fail")</x:f>
        <x:v>0</x:v>
      </x:c>
      <x:c r="E16" s="134" t="n">
        <x:f>COUNTIFS('Test Cases'!$D$6:$D$205,A16,'Test Cases'!$O$6:$O$205,"Blocked")</x:f>
        <x:v>0</x:v>
      </x:c>
      <x:c r="F16" s="134" t="n">
        <x:f>COUNTIFS('Test Cases'!$D$6:$D$205,A16,'Test Cases'!$O$6:$O$205,"Not Run")</x:f>
        <x:v>16</x:v>
      </x:c>
      <x:c r="G16" s="135" t="n">
        <x:f>IF((C16+D16)=0,0,C16/(C16+D16))</x:f>
        <x:v>0</x:v>
      </x:c>
      <x:c r="H16" s="127"/>
      <x:c r="I16" s="127"/>
      <x:c r="J16" s="138" t="str">
        <x:v>N/A</x:v>
      </x:c>
      <x:c r="K16" s="139" t="n">
        <x:f>COUNTIF('Test Cases'!$O$6:$O$205,J16)</x:f>
        <x:v>0</x:v>
      </x:c>
      <x:c r="L16" s="127"/>
      <x:c r="M16" s="127"/>
      <x:c r="N16" s="127"/>
      <x:c r="O16" s="127"/>
      <x:c r="P16" s="127"/>
      <x:c r="Q16" s="127"/>
    </x:row>
    <x:row r="17">
      <x:c r="A17" s="133" t="str">
        <x:v>Repair Requests</x:v>
      </x:c>
      <x:c r="B17" s="134" t="n">
        <x:f>COUNTIF('Test Cases'!$D$6:$D$205,A17)</x:f>
        <x:v>7</x:v>
      </x:c>
      <x:c r="C17" s="134" t="n">
        <x:f>COUNTIFS('Test Cases'!$D$6:$D$205,A17,'Test Cases'!$O$6:$O$205,"Pass")</x:f>
        <x:v>0</x:v>
      </x:c>
      <x:c r="D17" s="134" t="n">
        <x:f>COUNTIFS('Test Cases'!$D$6:$D$205,A17,'Test Cases'!$O$6:$O$205,"Fail")</x:f>
        <x:v>0</x:v>
      </x:c>
      <x:c r="E17" s="134" t="n">
        <x:f>COUNTIFS('Test Cases'!$D$6:$D$205,A17,'Test Cases'!$O$6:$O$205,"Blocked")</x:f>
        <x:v>0</x:v>
      </x:c>
      <x:c r="F17" s="134" t="n">
        <x:f>COUNTIFS('Test Cases'!$D$6:$D$205,A17,'Test Cases'!$O$6:$O$205,"Not Run")</x:f>
        <x:v>7</x:v>
      </x:c>
      <x:c r="G17" s="135" t="n">
        <x:f>IF((C17+D17)=0,0,C17/(C17+D17))</x:f>
        <x:v>0</x:v>
      </x:c>
      <x:c r="H17" s="127"/>
      <x:c r="I17" s="127"/>
      <x:c r="J17" s="127"/>
      <x:c r="K17" s="127"/>
      <x:c r="L17" s="127"/>
      <x:c r="M17" s="127"/>
      <x:c r="N17" s="127"/>
      <x:c r="O17" s="127"/>
      <x:c r="P17" s="127"/>
      <x:c r="Q17" s="127"/>
    </x:row>
    <x:row r="18">
      <x:c r="A18" s="133" t="str">
        <x:v>Reports</x:v>
      </x:c>
      <x:c r="B18" s="134" t="n">
        <x:f>COUNTIF('Test Cases'!$D$6:$D$205,A18)</x:f>
        <x:v>5</x:v>
      </x:c>
      <x:c r="C18" s="134" t="n">
        <x:f>COUNTIFS('Test Cases'!$D$6:$D$205,A18,'Test Cases'!$O$6:$O$205,"Pass")</x:f>
        <x:v>0</x:v>
      </x:c>
      <x:c r="D18" s="134" t="n">
        <x:f>COUNTIFS('Test Cases'!$D$6:$D$205,A18,'Test Cases'!$O$6:$O$205,"Fail")</x:f>
        <x:v>0</x:v>
      </x:c>
      <x:c r="E18" s="134" t="n">
        <x:f>COUNTIFS('Test Cases'!$D$6:$D$205,A18,'Test Cases'!$O$6:$O$205,"Blocked")</x:f>
        <x:v>0</x:v>
      </x:c>
      <x:c r="F18" s="134" t="n">
        <x:f>COUNTIFS('Test Cases'!$D$6:$D$205,A18,'Test Cases'!$O$6:$O$205,"Not Run")</x:f>
        <x:v>5</x:v>
      </x:c>
      <x:c r="G18" s="135" t="n">
        <x:f>IF((C18+D18)=0,0,C18/(C18+D18))</x:f>
        <x:v>0</x:v>
      </x:c>
      <x:c r="H18" s="127"/>
      <x:c r="I18" s="127"/>
      <x:c r="J18" s="127"/>
      <x:c r="K18" s="127"/>
      <x:c r="L18" s="127"/>
      <x:c r="M18" s="127"/>
      <x:c r="N18" s="127"/>
      <x:c r="O18" s="127"/>
      <x:c r="P18" s="127"/>
      <x:c r="Q18" s="127"/>
    </x:row>
    <x:row r="19">
      <x:c r="A19" s="133" t="str">
        <x:v>Assets</x:v>
      </x:c>
      <x:c r="B19" s="134" t="n">
        <x:f>COUNTIF('Test Cases'!$D$6:$D$205,A19)</x:f>
        <x:v>4</x:v>
      </x:c>
      <x:c r="C19" s="134" t="n">
        <x:f>COUNTIFS('Test Cases'!$D$6:$D$205,A19,'Test Cases'!$O$6:$O$205,"Pass")</x:f>
        <x:v>0</x:v>
      </x:c>
      <x:c r="D19" s="134" t="n">
        <x:f>COUNTIFS('Test Cases'!$D$6:$D$205,A19,'Test Cases'!$O$6:$O$205,"Fail")</x:f>
        <x:v>0</x:v>
      </x:c>
      <x:c r="E19" s="134" t="n">
        <x:f>COUNTIFS('Test Cases'!$D$6:$D$205,A19,'Test Cases'!$O$6:$O$205,"Blocked")</x:f>
        <x:v>0</x:v>
      </x:c>
      <x:c r="F19" s="134" t="n">
        <x:f>COUNTIFS('Test Cases'!$D$6:$D$205,A19,'Test Cases'!$O$6:$O$205,"Not Run")</x:f>
        <x:v>4</x:v>
      </x:c>
      <x:c r="G19" s="135" t="n">
        <x:f>IF((C19+D19)=0,0,C19/(C19+D19))</x:f>
        <x:v>0</x:v>
      </x:c>
      <x:c r="H19" s="127"/>
      <x:c r="I19" s="127"/>
      <x:c r="J19" s="127"/>
      <x:c r="K19" s="127"/>
      <x:c r="L19" s="127"/>
      <x:c r="M19" s="127"/>
      <x:c r="N19" s="127"/>
      <x:c r="O19" s="127"/>
      <x:c r="P19" s="127"/>
      <x:c r="Q19" s="127"/>
    </x:row>
    <x:row r="20">
      <x:c r="A20" s="133" t="str">
        <x:v>Alerts</x:v>
      </x:c>
      <x:c r="B20" s="134" t="n">
        <x:f>COUNTIF('Test Cases'!$D$6:$D$205,A20)</x:f>
        <x:v>4</x:v>
      </x:c>
      <x:c r="C20" s="134" t="n">
        <x:f>COUNTIFS('Test Cases'!$D$6:$D$205,A20,'Test Cases'!$O$6:$O$205,"Pass")</x:f>
        <x:v>0</x:v>
      </x:c>
      <x:c r="D20" s="134" t="n">
        <x:f>COUNTIFS('Test Cases'!$D$6:$D$205,A20,'Test Cases'!$O$6:$O$205,"Fail")</x:f>
        <x:v>0</x:v>
      </x:c>
      <x:c r="E20" s="134" t="n">
        <x:f>COUNTIFS('Test Cases'!$D$6:$D$205,A20,'Test Cases'!$O$6:$O$205,"Blocked")</x:f>
        <x:v>0</x:v>
      </x:c>
      <x:c r="F20" s="134" t="n">
        <x:f>COUNTIFS('Test Cases'!$D$6:$D$205,A20,'Test Cases'!$O$6:$O$205,"Not Run")</x:f>
        <x:v>4</x:v>
      </x:c>
      <x:c r="G20" s="135" t="n">
        <x:f>IF((C20+D20)=0,0,C20/(C20+D20))</x:f>
        <x:v>0</x:v>
      </x:c>
      <x:c r="H20" s="127"/>
      <x:c r="I20" s="127"/>
      <x:c r="J20" s="127"/>
      <x:c r="K20" s="127"/>
      <x:c r="L20" s="127"/>
      <x:c r="M20" s="127"/>
      <x:c r="N20" s="127"/>
      <x:c r="O20" s="127"/>
      <x:c r="P20" s="127"/>
      <x:c r="Q20" s="127"/>
    </x:row>
    <x:row r="21">
      <x:c r="A21" s="133" t="str">
        <x:v>IoT Monitoring</x:v>
      </x:c>
      <x:c r="B21" s="134" t="n">
        <x:f>COUNTIF('Test Cases'!$D$6:$D$205,A21)</x:f>
        <x:v>3</x:v>
      </x:c>
      <x:c r="C21" s="134" t="n">
        <x:f>COUNTIFS('Test Cases'!$D$6:$D$205,A21,'Test Cases'!$O$6:$O$205,"Pass")</x:f>
        <x:v>0</x:v>
      </x:c>
      <x:c r="D21" s="134" t="n">
        <x:f>COUNTIFS('Test Cases'!$D$6:$D$205,A21,'Test Cases'!$O$6:$O$205,"Fail")</x:f>
        <x:v>0</x:v>
      </x:c>
      <x:c r="E21" s="134" t="n">
        <x:f>COUNTIFS('Test Cases'!$D$6:$D$205,A21,'Test Cases'!$O$6:$O$205,"Blocked")</x:f>
        <x:v>0</x:v>
      </x:c>
      <x:c r="F21" s="134" t="n">
        <x:f>COUNTIFS('Test Cases'!$D$6:$D$205,A21,'Test Cases'!$O$6:$O$205,"Not Run")</x:f>
        <x:v>3</x:v>
      </x:c>
      <x:c r="G21" s="135" t="n">
        <x:f>IF((C21+D21)=0,0,C21/(C21+D21))</x:f>
        <x:v>0</x:v>
      </x:c>
      <x:c r="H21" s="127"/>
      <x:c r="I21" s="127"/>
      <x:c r="J21" s="127"/>
      <x:c r="K21" s="127"/>
      <x:c r="L21" s="127"/>
      <x:c r="M21" s="127"/>
      <x:c r="N21" s="127"/>
      <x:c r="O21" s="127"/>
      <x:c r="P21" s="127"/>
      <x:c r="Q21" s="127"/>
    </x:row>
    <x:row r="22">
      <x:c r="A22" s="133" t="str">
        <x:v>User Profile</x:v>
      </x:c>
      <x:c r="B22" s="134" t="n">
        <x:f>COUNTIF('Test Cases'!$D$6:$D$205,A22)</x:f>
        <x:v>4</x:v>
      </x:c>
      <x:c r="C22" s="134" t="n">
        <x:f>COUNTIFS('Test Cases'!$D$6:$D$205,A22,'Test Cases'!$O$6:$O$205,"Pass")</x:f>
        <x:v>0</x:v>
      </x:c>
      <x:c r="D22" s="134" t="n">
        <x:f>COUNTIFS('Test Cases'!$D$6:$D$205,A22,'Test Cases'!$O$6:$O$205,"Fail")</x:f>
        <x:v>0</x:v>
      </x:c>
      <x:c r="E22" s="134" t="n">
        <x:f>COUNTIFS('Test Cases'!$D$6:$D$205,A22,'Test Cases'!$O$6:$O$205,"Blocked")</x:f>
        <x:v>0</x:v>
      </x:c>
      <x:c r="F22" s="134" t="n">
        <x:f>COUNTIFS('Test Cases'!$D$6:$D$205,A22,'Test Cases'!$O$6:$O$205,"Not Run")</x:f>
        <x:v>4</x:v>
      </x:c>
      <x:c r="G22" s="135" t="n">
        <x:f>IF((C22+D22)=0,0,C22/(C22+D22))</x:f>
        <x:v>0</x:v>
      </x:c>
      <x:c r="H22" s="127"/>
      <x:c r="I22" s="127"/>
      <x:c r="J22" s="127"/>
      <x:c r="K22" s="127"/>
      <x:c r="L22" s="127"/>
      <x:c r="M22" s="127"/>
      <x:c r="N22" s="127"/>
      <x:c r="O22" s="127"/>
      <x:c r="P22" s="127"/>
      <x:c r="Q22" s="127"/>
    </x:row>
    <x:row r="23">
      <x:c r="A23" s="133" t="str">
        <x:v>UI/Responsive</x:v>
      </x:c>
      <x:c r="B23" s="134" t="n">
        <x:f>COUNTIF('Test Cases'!$D$6:$D$205,A23)</x:f>
        <x:v>6</x:v>
      </x:c>
      <x:c r="C23" s="134" t="n">
        <x:f>COUNTIFS('Test Cases'!$D$6:$D$205,A23,'Test Cases'!$O$6:$O$205,"Pass")</x:f>
        <x:v>0</x:v>
      </x:c>
      <x:c r="D23" s="134" t="n">
        <x:f>COUNTIFS('Test Cases'!$D$6:$D$205,A23,'Test Cases'!$O$6:$O$205,"Fail")</x:f>
        <x:v>0</x:v>
      </x:c>
      <x:c r="E23" s="134" t="n">
        <x:f>COUNTIFS('Test Cases'!$D$6:$D$205,A23,'Test Cases'!$O$6:$O$205,"Blocked")</x:f>
        <x:v>0</x:v>
      </x:c>
      <x:c r="F23" s="134" t="n">
        <x:f>COUNTIFS('Test Cases'!$D$6:$D$205,A23,'Test Cases'!$O$6:$O$205,"Not Run")</x:f>
        <x:v>6</x:v>
      </x:c>
      <x:c r="G23" s="135" t="n">
        <x:f>IF((C23+D23)=0,0,C23/(C23+D23))</x:f>
        <x:v>0</x:v>
      </x:c>
      <x:c r="H23" s="127"/>
      <x:c r="I23" s="127"/>
      <x:c r="J23" s="127"/>
      <x:c r="K23" s="127"/>
      <x:c r="L23" s="127"/>
      <x:c r="M23" s="127"/>
      <x:c r="N23" s="127"/>
      <x:c r="O23" s="127"/>
      <x:c r="P23" s="127"/>
      <x:c r="Q23" s="127"/>
    </x:row>
    <x:row r="24">
      <x:c r="A24" s="133" t="str">
        <x:v>Backend &amp; Security</x:v>
      </x:c>
      <x:c r="B24" s="134" t="n">
        <x:f>COUNTIF('Test Cases'!$D$6:$D$205,A24)</x:f>
        <x:v>11</x:v>
      </x:c>
      <x:c r="C24" s="134" t="n">
        <x:f>COUNTIFS('Test Cases'!$D$6:$D$205,A24,'Test Cases'!$O$6:$O$205,"Pass")</x:f>
        <x:v>0</x:v>
      </x:c>
      <x:c r="D24" s="134" t="n">
        <x:f>COUNTIFS('Test Cases'!$D$6:$D$205,A24,'Test Cases'!$O$6:$O$205,"Fail")</x:f>
        <x:v>0</x:v>
      </x:c>
      <x:c r="E24" s="134" t="n">
        <x:f>COUNTIFS('Test Cases'!$D$6:$D$205,A24,'Test Cases'!$O$6:$O$205,"Blocked")</x:f>
        <x:v>0</x:v>
      </x:c>
      <x:c r="F24" s="134" t="n">
        <x:f>COUNTIFS('Test Cases'!$D$6:$D$205,A24,'Test Cases'!$O$6:$O$205,"Not Run")</x:f>
        <x:v>11</x:v>
      </x:c>
      <x:c r="G24" s="135" t="n">
        <x:f>IF((C24+D24)=0,0,C24/(C24+D24))</x:f>
        <x:v>0</x:v>
      </x:c>
      <x:c r="H24" s="127"/>
      <x:c r="I24" s="127"/>
      <x:c r="J24" s="127"/>
      <x:c r="K24" s="127"/>
      <x:c r="L24" s="127"/>
      <x:c r="M24" s="127"/>
      <x:c r="N24" s="127"/>
      <x:c r="O24" s="127"/>
      <x:c r="P24" s="127"/>
      <x:c r="Q24" s="127"/>
    </x:row>
    <x:row r="25">
      <x:c r="A25" s="140" t="str">
        <x:v>Build &amp; Deployment</x:v>
      </x:c>
      <x:c r="B25" s="141" t="n">
        <x:f>COUNTIF('Test Cases'!$D$6:$D$205,A25)</x:f>
        <x:v>5</x:v>
      </x:c>
      <x:c r="C25" s="141" t="n">
        <x:f>COUNTIFS('Test Cases'!$D$6:$D$205,A25,'Test Cases'!$O$6:$O$205,"Pass")</x:f>
        <x:v>0</x:v>
      </x:c>
      <x:c r="D25" s="141" t="n">
        <x:f>COUNTIFS('Test Cases'!$D$6:$D$205,A25,'Test Cases'!$O$6:$O$205,"Fail")</x:f>
        <x:v>0</x:v>
      </x:c>
      <x:c r="E25" s="141" t="n">
        <x:f>COUNTIFS('Test Cases'!$D$6:$D$205,A25,'Test Cases'!$O$6:$O$205,"Blocked")</x:f>
        <x:v>0</x:v>
      </x:c>
      <x:c r="F25" s="141" t="n">
        <x:f>COUNTIFS('Test Cases'!$D$6:$D$205,A25,'Test Cases'!$O$6:$O$205,"Not Run")</x:f>
        <x:v>5</x:v>
      </x:c>
      <x:c r="G25" s="142" t="n">
        <x:f>IF((C25+D25)=0,0,C25/(C25+D25))</x:f>
        <x:v>0</x:v>
      </x:c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</x:row>
    <x:row r="26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</x:row>
    <x:row r="27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  <x:c r="N27" s="127"/>
      <x:c r="O27" s="127"/>
      <x:c r="P27" s="127"/>
      <x:c r="Q27" s="127"/>
    </x:row>
    <x:row r="28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  <x:c r="N28" s="127"/>
      <x:c r="O28" s="127"/>
      <x:c r="P28" s="127"/>
      <x:c r="Q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  <x:c r="Q29" s="127"/>
    </x:row>
    <x:row r="30" ht="30" customHeight="1">
      <x:c r="A30" s="89" t="str">
        <x:v>Release Gate</x:v>
      </x:c>
      <x:c r="B30" s="90" t="str">
        <x:v>Criteria</x:v>
      </x:c>
      <x:c r="C30" s="90" t="str">
        <x:v>Current</x:v>
      </x:c>
      <x:c r="D30" s="90" t="str">
        <x:v>Result</x:v>
      </x:c>
      <x:c r="E30" s="90" t="str">
        <x:v>Owner</x:v>
      </x:c>
      <x:c r="F30" s="90" t="str">
        <x:v>Due Date</x:v>
      </x:c>
      <x:c r="G30" s="91" t="str">
        <x:v>Notes</x:v>
      </x:c>
      <x:c r="H30" s="127"/>
      <x:c r="I30" s="127"/>
      <x:c r="J30" s="127"/>
      <x:c r="K30" s="127"/>
      <x:c r="L30" s="127"/>
      <x:c r="M30" s="127"/>
      <x:c r="N30" s="127"/>
      <x:c r="O30" s="127"/>
      <x:c r="P30" s="127"/>
      <x:c r="Q30" s="127"/>
    </x:row>
    <x:row r="31">
      <x:c r="A31" s="131" t="str">
        <x:v>Critical tests</x:v>
      </x:c>
      <x:c r="B31" s="129" t="str">
        <x:v>Pass 100%</x:v>
      </x:c>
      <x:c r="C31" s="143" t="n">
        <x:f>IF(COUNTIF('Test Cases'!$K$6:$K$205,"Critical")=0,0,COUNTIFS('Test Cases'!$K$6:$K$205,"Critical",'Test Cases'!$O$6:$O$205,"Pass")/COUNTIF('Test Cases'!$K$6:$K$205,"Critical"))</x:f>
        <x:v>0</x:v>
      </x:c>
      <x:c r="D31" s="129" t="str">
        <x:f>IF(C31=1,"Pass","Pending")</x:f>
        <x:v>Pending</x:v>
      </x:c>
      <x:c r="E31" s="129" t="str">
        <x:v>QA Lead</x:v>
      </x:c>
      <x:c r="F31" s="129" t="str"/>
      <x:c r="G31" s="132" t="str"/>
      <x:c r="H31" s="127"/>
      <x:c r="I31" s="127"/>
      <x:c r="J31" s="127"/>
      <x:c r="K31" s="127"/>
      <x:c r="L31" s="127"/>
      <x:c r="M31" s="127"/>
      <x:c r="N31" s="127"/>
      <x:c r="O31" s="127"/>
      <x:c r="P31" s="127"/>
      <x:c r="Q31" s="127"/>
    </x:row>
    <x:row r="32">
      <x:c r="A32" s="136" t="str">
        <x:v>Overall pass rate</x:v>
      </x:c>
      <x:c r="B32" s="134" t="str">
        <x:v>&gt;= 95%</x:v>
      </x:c>
      <x:c r="C32" s="144" t="n">
        <x:f>P6</x:f>
        <x:v>0</x:v>
      </x:c>
      <x:c r="D32" s="134" t="str">
        <x:f>IF(C32&gt;=0.95,"Pass","Pending")</x:f>
        <x:v>Pending</x:v>
      </x:c>
      <x:c r="E32" s="134" t="str">
        <x:v>QA Lead</x:v>
      </x:c>
      <x:c r="F32" s="134" t="str"/>
      <x:c r="G32" s="137" t="str"/>
      <x:c r="H32" s="127"/>
      <x:c r="I32" s="127"/>
      <x:c r="J32" s="127"/>
      <x:c r="K32" s="127"/>
      <x:c r="L32" s="127"/>
      <x:c r="M32" s="127"/>
      <x:c r="N32" s="127"/>
      <x:c r="O32" s="127"/>
      <x:c r="P32" s="127"/>
      <x:c r="Q32" s="127"/>
    </x:row>
    <x:row r="33">
      <x:c r="A33" s="136" t="str">
        <x:v>Open S1/S2 defects</x:v>
      </x:c>
      <x:c r="B33" s="134" t="str">
        <x:v>0</x:v>
      </x:c>
      <x:c r="C33" s="134" t="n">
        <x:f>COUNTIFS('Defect Log'!$E$5:$E$104,"S1 Critical",'Defect Log'!$G$5:$G$104,"&lt;&gt;Closed")+COUNTIFS('Defect Log'!$E$5:$E$104,"S2 High",'Defect Log'!$G$5:$G$104,"&lt;&gt;Closed")</x:f>
        <x:v>0</x:v>
      </x:c>
      <x:c r="D33" s="134" t="str">
        <x:f>IF(C33=0,"Pass","Pending")</x:f>
        <x:v>Pass</x:v>
      </x:c>
      <x:c r="E33" s="134" t="str">
        <x:v>Dev Lead</x:v>
      </x:c>
      <x:c r="F33" s="134" t="str"/>
      <x:c r="G33" s="137" t="str"/>
      <x:c r="H33" s="127"/>
      <x:c r="I33" s="127"/>
      <x:c r="J33" s="127"/>
      <x:c r="K33" s="127"/>
      <x:c r="L33" s="127"/>
      <x:c r="M33" s="127"/>
      <x:c r="N33" s="127"/>
      <x:c r="O33" s="127"/>
      <x:c r="P33" s="127"/>
      <x:c r="Q33" s="127"/>
    </x:row>
    <x:row r="34">
      <x:c r="A34" s="136" t="str">
        <x:v>Regression</x:v>
      </x:c>
      <x:c r="B34" s="134" t="str">
        <x:v>Pass</x:v>
      </x:c>
      <x:c r="C34" s="134" t="str">
        <x:f>IF(COUNTIFS('Test Cases'!$J$6:$J$205,"Regression",'Test Cases'!$O$6:$O$205,"Pass")+COUNTIFS('Test Cases'!$J$6:$J$205,"Regression",'Test Cases'!$O$6:$O$205,"Fail")=0,"Not run",IF(COUNTIFS('Test Cases'!$J$6:$J$205,"Regression",'Test Cases'!$O$6:$O$205,"Fail")=0,"No failure","Failure found"))</x:f>
        <x:v>Not run</x:v>
      </x:c>
      <x:c r="D34" s="134" t="str">
        <x:f>IF(C34="No failure","Pass","Pending")</x:f>
        <x:v>Pending</x:v>
      </x:c>
      <x:c r="E34" s="134" t="str">
        <x:v>QA</x:v>
      </x:c>
      <x:c r="F34" s="134" t="str"/>
      <x:c r="G34" s="137" t="str"/>
      <x:c r="H34" s="127"/>
      <x:c r="I34" s="127"/>
      <x:c r="J34" s="127"/>
      <x:c r="K34" s="127"/>
      <x:c r="L34" s="127"/>
      <x:c r="M34" s="127"/>
      <x:c r="N34" s="127"/>
      <x:c r="O34" s="127"/>
      <x:c r="P34" s="127"/>
      <x:c r="Q34" s="127"/>
    </x:row>
    <x:row r="35">
      <x:c r="A35" s="138" t="str">
        <x:v>Stakeholder sign-off</x:v>
      </x:c>
      <x:c r="B35" s="141" t="str">
        <x:v>Approved</x:v>
      </x:c>
      <x:c r="C35" s="141" t="str">
        <x:v>Pending</x:v>
      </x:c>
      <x:c r="D35" s="141" t="str">
        <x:v>Pending</x:v>
      </x:c>
      <x:c r="E35" s="141" t="str">
        <x:v>Product Owner</x:v>
      </x:c>
      <x:c r="F35" s="141" t="str"/>
      <x:c r="G35" s="139" t="str"/>
      <x:c r="H35" s="127"/>
      <x:c r="I35" s="127"/>
      <x:c r="J35" s="127"/>
      <x:c r="K35" s="127"/>
      <x:c r="L35" s="127"/>
      <x:c r="M35" s="127"/>
      <x:c r="N35" s="127"/>
      <x:c r="O35" s="127"/>
      <x:c r="P35" s="127"/>
      <x:c r="Q35" s="127"/>
    </x:row>
  </x:sheetData>
  <x:mergeCells>
    <x:mergeCell ref="A1:Q1"/>
    <x:mergeCell ref="A2:Q2"/>
    <x:mergeCell ref="A5:B5"/>
    <x:mergeCell ref="A6:B7"/>
    <x:mergeCell ref="D5:E5"/>
    <x:mergeCell ref="D6:E7"/>
    <x:mergeCell ref="G5:H5"/>
    <x:mergeCell ref="G6:H7"/>
    <x:mergeCell ref="J5:K5"/>
    <x:mergeCell ref="J6:K7"/>
    <x:mergeCell ref="M5:N5"/>
    <x:mergeCell ref="M6:N7"/>
    <x:mergeCell ref="P5:Q5"/>
    <x:mergeCell ref="P6:Q7"/>
  </x:mergeCells>
  <x:conditionalFormatting sqref="J11:J1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In Progress"/>
    <x:cfRule type="containsText" dxfId="4" priority="5" operator="containsText" text="Not Run"/>
  </x:conditionalFormatting>
  <x:conditionalFormatting sqref="D31:D35">
    <x:cfRule type="containsText" dxfId="5" priority="6" operator="containsText" text="Pass"/>
    <x:cfRule type="containsText" dxfId="6" priority="7" operator="containsText" text="Fail"/>
    <x:cfRule type="containsText" dxfId="7" priority="8" operator="containsText" text="Blocked"/>
    <x:cfRule type="containsText" dxfId="8" priority="9" operator="containsText" text="In Progress"/>
    <x:cfRule type="containsText" dxfId="9" priority="10" operator="containsText" text="Not Run"/>
  </x:conditionalFormatting>
  <x:pageMargins left="0.7" right="0.7" top="0.75" bottom="0.75" header="0.3" footer="0.3"/>
  <x:drawing xmlns:r="http://schemas.openxmlformats.org/officeDocument/2006/relationships" r:id="R9325fe01eaec43de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7" hidden="0" customWidth="1"/>
    <x:col min="4" max="4" width="19" hidden="0" customWidth="1"/>
    <x:col min="5" max="5" width="34" hidden="0" customWidth="1"/>
    <x:col min="6" max="6" width="28" hidden="0" customWidth="1"/>
    <x:col min="7" max="7" width="40" hidden="0" customWidth="1"/>
    <x:col min="8" max="8" width="24" hidden="0" customWidth="1"/>
    <x:col min="9" max="9" width="38" hidden="0" customWidth="1"/>
    <x:col min="10" max="10" width="15" hidden="0" customWidth="1"/>
    <x:col min="11" max="11" width="12" hidden="0" customWidth="1"/>
    <x:col min="12" max="12" width="17" hidden="0" customWidth="1"/>
    <x:col min="13" max="13" width="17" hidden="0" customWidth="1"/>
    <x:col min="14" max="14" width="34" hidden="0" customWidth="1"/>
    <x:col min="15" max="15" width="14" hidden="0" customWidth="1"/>
    <x:col min="16" max="16" width="25" hidden="0" customWidth="1"/>
    <x:col min="17" max="17" width="16" hidden="0" customWidth="1"/>
    <x:col min="18" max="18" width="15" hidden="0" customWidth="1"/>
    <x:col min="19" max="19" width="15" hidden="0" customWidth="1"/>
    <x:col min="20" max="20" width="28" hidden="0" customWidth="1"/>
  </x:cols>
  <x:sheetData>
    <x:row r="1" ht="38" customHeight="1">
      <x:c r="A1" s="4" t="str">
        <x:v>ThaiCon CMMS — Test Case Checklist</x:v>
      </x:c>
      <x:c r="B1" s="4" t="str">
        <x:v>ThaiCon CMMS — Test Case Checklist</x:v>
      </x:c>
      <x:c r="C1" s="4" t="str">
        <x:v>ThaiCon CMMS — Test Case Checklist</x:v>
      </x:c>
      <x:c r="D1" s="4" t="str">
        <x:v>ThaiCon CMMS — Test Case Checklist</x:v>
      </x:c>
      <x:c r="E1" s="4" t="str">
        <x:v>ThaiCon CMMS — Test Case Checklist</x:v>
      </x:c>
      <x:c r="F1" s="4" t="str">
        <x:v>ThaiCon CMMS — Test Case Checklist</x:v>
      </x:c>
      <x:c r="G1" s="4" t="str">
        <x:v>ThaiCon CMMS — Test Case Checklist</x:v>
      </x:c>
      <x:c r="H1" s="4" t="str">
        <x:v>ThaiCon CMMS — Test Case Checklist</x:v>
      </x:c>
      <x:c r="I1" s="4" t="str">
        <x:v>ThaiCon CMMS — Test Case Checklist</x:v>
      </x:c>
      <x:c r="J1" s="4" t="str">
        <x:v>ThaiCon CMMS — Test Case Checklist</x:v>
      </x:c>
      <x:c r="K1" s="4" t="str">
        <x:v>ThaiCon CMMS — Test Case Checklist</x:v>
      </x:c>
      <x:c r="L1" s="4" t="str">
        <x:v>ThaiCon CMMS — Test Case Checklist</x:v>
      </x:c>
      <x:c r="M1" s="4" t="str">
        <x:v>ThaiCon CMMS — Test Case Checklist</x:v>
      </x:c>
      <x:c r="N1" s="4" t="str">
        <x:v>ThaiCon CMMS — Test Case Checklist</x:v>
      </x:c>
      <x:c r="O1" s="4" t="str">
        <x:v>ThaiCon CMMS — Test Case Checklist</x:v>
      </x:c>
      <x:c r="P1" s="4" t="str">
        <x:v>ThaiCon CMMS — Test Case Checklist</x:v>
      </x:c>
      <x:c r="Q1" s="4" t="str">
        <x:v>ThaiCon CMMS — Test Case Checklist</x:v>
      </x:c>
      <x:c r="R1" s="4" t="str">
        <x:v>ThaiCon CMMS — Test Case Checklist</x:v>
      </x:c>
      <x:c r="S1" s="4" t="str">
        <x:v>ThaiCon CMMS — Test Case Checklist</x:v>
      </x:c>
      <x:c r="T1" s="4" t="str">
        <x:v>ThaiCon CMMS — Test Case Checklist</x:v>
      </x:c>
    </x:row>
    <x:row r="2" ht="24" customHeight="1">
      <x:c r="A2" s="8" t="str">
        <x:v>อัปเดตคอลัมน์ Execute?, Actual Result, Status, Evidence, Tester, Date และ Defect ID ระหว่างทดสอบ</x:v>
      </x:c>
      <x:c r="B2" s="8" t="str">
        <x:v>อัปเดตคอลัมน์ Execute?, Actual Result, Status, Evidence, Tester, Date และ Defect ID ระหว่างทดสอบ</x:v>
      </x:c>
      <x:c r="C2" s="8" t="str">
        <x:v>อัปเดตคอลัมน์ Execute?, Actual Result, Status, Evidence, Tester, Date และ Defect ID ระหว่างทดสอบ</x:v>
      </x:c>
      <x:c r="D2" s="8" t="str">
        <x:v>อัปเดตคอลัมน์ Execute?, Actual Result, Status, Evidence, Tester, Date และ Defect ID ระหว่างทดสอบ</x:v>
      </x:c>
      <x:c r="E2" s="8" t="str">
        <x:v>อัปเดตคอลัมน์ Execute?, Actual Result, Status, Evidence, Tester, Date และ Defect ID ระหว่างทดสอบ</x:v>
      </x:c>
      <x:c r="F2" s="8" t="str">
        <x:v>อัปเดตคอลัมน์ Execute?, Actual Result, Status, Evidence, Tester, Date และ Defect ID ระหว่างทดสอบ</x:v>
      </x:c>
      <x:c r="G2" s="8" t="str">
        <x:v>อัปเดตคอลัมน์ Execute?, Actual Result, Status, Evidence, Tester, Date และ Defect ID ระหว่างทดสอบ</x:v>
      </x:c>
      <x:c r="H2" s="8" t="str">
        <x:v>อัปเดตคอลัมน์ Execute?, Actual Result, Status, Evidence, Tester, Date และ Defect ID ระหว่างทดสอบ</x:v>
      </x:c>
      <x:c r="I2" s="8" t="str">
        <x:v>อัปเดตคอลัมน์ Execute?, Actual Result, Status, Evidence, Tester, Date และ Defect ID ระหว่างทดสอบ</x:v>
      </x:c>
      <x:c r="J2" s="8" t="str">
        <x:v>อัปเดตคอลัมน์ Execute?, Actual Result, Status, Evidence, Tester, Date และ Defect ID ระหว่างทดสอบ</x:v>
      </x:c>
      <x:c r="K2" s="8" t="str">
        <x:v>อัปเดตคอลัมน์ Execute?, Actual Result, Status, Evidence, Tester, Date และ Defect ID ระหว่างทดสอบ</x:v>
      </x:c>
      <x:c r="L2" s="8" t="str">
        <x:v>อัปเดตคอลัมน์ Execute?, Actual Result, Status, Evidence, Tester, Date และ Defect ID ระหว่างทดสอบ</x:v>
      </x:c>
      <x:c r="M2" s="8" t="str">
        <x:v>อัปเดตคอลัมน์ Execute?, Actual Result, Status, Evidence, Tester, Date และ Defect ID ระหว่างทดสอบ</x:v>
      </x:c>
      <x:c r="N2" s="8" t="str">
        <x:v>อัปเดตคอลัมน์ Execute?, Actual Result, Status, Evidence, Tester, Date และ Defect ID ระหว่างทดสอบ</x:v>
      </x:c>
      <x:c r="O2" s="8" t="str">
        <x:v>อัปเดตคอลัมน์ Execute?, Actual Result, Status, Evidence, Tester, Date และ Defect ID ระหว่างทดสอบ</x:v>
      </x:c>
      <x:c r="P2" s="8" t="str">
        <x:v>อัปเดตคอลัมน์ Execute?, Actual Result, Status, Evidence, Tester, Date และ Defect ID ระหว่างทดสอบ</x:v>
      </x:c>
      <x:c r="Q2" s="8" t="str">
        <x:v>อัปเดตคอลัมน์ Execute?, Actual Result, Status, Evidence, Tester, Date และ Defect ID ระหว่างทดสอบ</x:v>
      </x:c>
      <x:c r="R2" s="8" t="str">
        <x:v>อัปเดตคอลัมน์ Execute?, Actual Result, Status, Evidence, Tester, Date และ Defect ID ระหว่างทดสอบ</x:v>
      </x:c>
      <x:c r="S2" s="8" t="str">
        <x:v>อัปเดตคอลัมน์ Execute?, Actual Result, Status, Evidence, Tester, Date และ Defect ID ระหว่างทดสอบ</x:v>
      </x:c>
      <x:c r="T2" s="8" t="str">
        <x:v>อัปเดตคอลัมน์ Execute?, Actual Result, Status, Evidence, Tester, Date และ Defect ID ระหว่างทดสอบ</x:v>
      </x:c>
    </x:row>
    <x:row r="3">
      <x:c r="A3" s="146" t="str">
        <x:v>Test cases ทั้งหมด 102 รายการ | Status เริ่มต้น = Not Run | แนะนำให้สร้างสำเนาไฟล์ต่อ Test Cycle</x:v>
      </x:c>
      <x:c r="B3" s="146" t="str">
        <x:v>Test cases ทั้งหมด 102 รายการ | Status เริ่มต้น = Not Run | แนะนำให้สร้างสำเนาไฟล์ต่อ Test Cycle</x:v>
      </x:c>
      <x:c r="C3" s="146" t="str">
        <x:v>Test cases ทั้งหมด 102 รายการ | Status เริ่มต้น = Not Run | แนะนำให้สร้างสำเนาไฟล์ต่อ Test Cycle</x:v>
      </x:c>
      <x:c r="D3" s="146" t="str">
        <x:v>Test cases ทั้งหมด 102 รายการ | Status เริ่มต้น = Not Run | แนะนำให้สร้างสำเนาไฟล์ต่อ Test Cycle</x:v>
      </x:c>
      <x:c r="E3" s="146" t="str">
        <x:v>Test cases ทั้งหมด 102 รายการ | Status เริ่มต้น = Not Run | แนะนำให้สร้างสำเนาไฟล์ต่อ Test Cycle</x:v>
      </x:c>
      <x:c r="F3" s="146" t="str">
        <x:v>Test cases ทั้งหมด 102 รายการ | Status เริ่มต้น = Not Run | แนะนำให้สร้างสำเนาไฟล์ต่อ Test Cycle</x:v>
      </x:c>
      <x:c r="G3" s="146" t="str">
        <x:v>Test cases ทั้งหมด 102 รายการ | Status เริ่มต้น = Not Run | แนะนำให้สร้างสำเนาไฟล์ต่อ Test Cycle</x:v>
      </x:c>
      <x:c r="H3" s="146" t="str">
        <x:v>Test cases ทั้งหมด 102 รายการ | Status เริ่มต้น = Not Run | แนะนำให้สร้างสำเนาไฟล์ต่อ Test Cycle</x:v>
      </x:c>
      <x:c r="I3" s="146" t="str">
        <x:v>Test cases ทั้งหมด 102 รายการ | Status เริ่มต้น = Not Run | แนะนำให้สร้างสำเนาไฟล์ต่อ Test Cycle</x:v>
      </x:c>
      <x:c r="J3" s="146" t="str">
        <x:v>Test cases ทั้งหมด 102 รายการ | Status เริ่มต้น = Not Run | แนะนำให้สร้างสำเนาไฟล์ต่อ Test Cycle</x:v>
      </x:c>
      <x:c r="K3" s="146" t="str">
        <x:v>Test cases ทั้งหมด 102 รายการ | Status เริ่มต้น = Not Run | แนะนำให้สร้างสำเนาไฟล์ต่อ Test Cycle</x:v>
      </x:c>
      <x:c r="L3" s="146" t="str">
        <x:v>Test cases ทั้งหมด 102 รายการ | Status เริ่มต้น = Not Run | แนะนำให้สร้างสำเนาไฟล์ต่อ Test Cycle</x:v>
      </x:c>
      <x:c r="M3" s="146" t="str">
        <x:v>Test cases ทั้งหมด 102 รายการ | Status เริ่มต้น = Not Run | แนะนำให้สร้างสำเนาไฟล์ต่อ Test Cycle</x:v>
      </x:c>
      <x:c r="N3" s="146" t="str">
        <x:v>Test cases ทั้งหมด 102 รายการ | Status เริ่มต้น = Not Run | แนะนำให้สร้างสำเนาไฟล์ต่อ Test Cycle</x:v>
      </x:c>
      <x:c r="O3" s="146" t="str">
        <x:v>Test cases ทั้งหมด 102 รายการ | Status เริ่มต้น = Not Run | แนะนำให้สร้างสำเนาไฟล์ต่อ Test Cycle</x:v>
      </x:c>
      <x:c r="P3" s="146" t="str">
        <x:v>Test cases ทั้งหมด 102 รายการ | Status เริ่มต้น = Not Run | แนะนำให้สร้างสำเนาไฟล์ต่อ Test Cycle</x:v>
      </x:c>
      <x:c r="Q3" s="146" t="str">
        <x:v>Test cases ทั้งหมด 102 รายการ | Status เริ่มต้น = Not Run | แนะนำให้สร้างสำเนาไฟล์ต่อ Test Cycle</x:v>
      </x:c>
      <x:c r="R3" s="146" t="str">
        <x:v>Test cases ทั้งหมด 102 รายการ | Status เริ่มต้น = Not Run | แนะนำให้สร้างสำเนาไฟล์ต่อ Test Cycle</x:v>
      </x:c>
      <x:c r="S3" s="146" t="str">
        <x:v>Test cases ทั้งหมด 102 รายการ | Status เริ่มต้น = Not Run | แนะนำให้สร้างสำเนาไฟล์ต่อ Test Cycle</x:v>
      </x:c>
      <x:c r="T3" s="146" t="str">
        <x:v>Test cases ทั้งหมด 102 รายการ | Status เริ่มต้น = Not Run | แนะนำให้สร้างสำเนาไฟล์ต่อ Test Cycle</x:v>
      </x:c>
    </x:row>
    <x:row r="5" ht="30" customHeight="1">
      <x:c r="A5" s="89" t="str">
        <x:v>Execute?</x:v>
      </x:c>
      <x:c r="B5" s="90" t="str">
        <x:v>Test Case ID</x:v>
      </x:c>
      <x:c r="C5" s="90" t="str">
        <x:v>Requirement ID</x:v>
      </x:c>
      <x:c r="D5" s="90" t="str">
        <x:v>Module</x:v>
      </x:c>
      <x:c r="E5" s="90" t="str">
        <x:v>Test Scenario</x:v>
      </x:c>
      <x:c r="F5" s="90" t="str">
        <x:v>Preconditions</x:v>
      </x:c>
      <x:c r="G5" s="90" t="str">
        <x:v>Test Steps</x:v>
      </x:c>
      <x:c r="H5" s="90" t="str">
        <x:v>Test Data</x:v>
      </x:c>
      <x:c r="I5" s="90" t="str">
        <x:v>Expected Result</x:v>
      </x:c>
      <x:c r="J5" s="90" t="str">
        <x:v>Test Type</x:v>
      </x:c>
      <x:c r="K5" s="90" t="str">
        <x:v>Priority</x:v>
      </x:c>
      <x:c r="L5" s="90" t="str">
        <x:v>Role</x:v>
      </x:c>
      <x:c r="M5" s="90" t="str">
        <x:v>Environment</x:v>
      </x:c>
      <x:c r="N5" s="90" t="str">
        <x:v>Actual Result</x:v>
      </x:c>
      <x:c r="O5" s="90" t="str">
        <x:v>Status</x:v>
      </x:c>
      <x:c r="P5" s="90" t="str">
        <x:v>Evidence Link</x:v>
      </x:c>
      <x:c r="Q5" s="90" t="str">
        <x:v>Tester</x:v>
      </x:c>
      <x:c r="R5" s="90" t="str">
        <x:v>Execution Date</x:v>
      </x:c>
      <x:c r="S5" s="90" t="str">
        <x:v>Defect ID</x:v>
      </x:c>
      <x:c r="T5" s="91" t="str">
        <x:v>Notes</x:v>
      </x:c>
    </x:row>
    <x:row r="6" ht="58" customHeight="1">
      <x:c r="A6" s="110" t="str">
        <x:v>Yes</x:v>
      </x:c>
      <x:c r="B6" s="111" t="str">
        <x:v>TC-AUTH-001</x:v>
      </x:c>
      <x:c r="C6" s="111" t="str">
        <x:v>REQ-AUTH-01</x:v>
      </x:c>
      <x:c r="D6" s="111" t="str">
        <x:v>Authentication</x:v>
      </x:c>
      <x:c r="E6" s="111" t="str">
        <x:v>เข้าสู่ระบบด้วยบัญชีผู้ดูแลที่ถูกต้อง</x:v>
      </x:c>
      <x:c r="F6" s="111" t="str">
        <x:v>มีบัญชี admin และอยู่หน้า Login</x:v>
      </x:c>
      <x:c r="G6" s="111" t="str">
        <x:v>1. กรอก username/password
2. กดเข้าสู่ระบบ</x:v>
      </x:c>
      <x:c r="H6" s="111" t="str">
        <x:v>admin / demo123</x:v>
      </x:c>
      <x:c r="I6" s="111" t="str">
        <x:v>เข้าสู่ระบบสำเร็จและเห็นสิทธิ์ Admin</x:v>
      </x:c>
      <x:c r="J6" s="111" t="str">
        <x:v>Functional</x:v>
      </x:c>
      <x:c r="K6" s="111" t="str">
        <x:v>Critical</x:v>
      </x:c>
      <x:c r="L6" s="111" t="str">
        <x:v>Admin</x:v>
      </x:c>
      <x:c r="M6" s="111" t="str">
        <x:v>UAT</x:v>
      </x:c>
      <x:c r="N6" s="111" t="str"/>
      <x:c r="O6" s="111" t="str">
        <x:v>Not Run</x:v>
      </x:c>
      <x:c r="P6" s="111" t="str"/>
      <x:c r="Q6" s="111" t="str"/>
      <x:c r="R6" s="147" t="str"/>
      <x:c r="S6" s="111" t="str"/>
      <x:c r="T6" s="112" t="str"/>
    </x:row>
    <x:row r="7" ht="58" customHeight="1">
      <x:c r="A7" s="113" t="str">
        <x:v>Yes</x:v>
      </x:c>
      <x:c r="B7" s="114" t="str">
        <x:v>TC-AUTH-002</x:v>
      </x:c>
      <x:c r="C7" s="114" t="str">
        <x:v>REQ-AUTH-01</x:v>
      </x:c>
      <x:c r="D7" s="114" t="str">
        <x:v>Authentication</x:v>
      </x:c>
      <x:c r="E7" s="114" t="str">
        <x:v>เข้าสู่ระบบด้วยบัญชีช่างที่ถูกต้อง</x:v>
      </x:c>
      <x:c r="F7" s="114" t="str">
        <x:v>มีบัญชี engineer</x:v>
      </x:c>
      <x:c r="G7" s="114" t="str">
        <x:v>เข้าสู่ระบบด้วยบัญชีช่าง</x:v>
      </x:c>
      <x:c r="H7" s="114" t="str">
        <x:v>engineer / demo123</x:v>
      </x:c>
      <x:c r="I7" s="114" t="str">
        <x:v>เข้าสู่ระบบสำเร็จและเห็นเมนูตามสิทธิ์ Engineer</x:v>
      </x:c>
      <x:c r="J7" s="114" t="str">
        <x:v>Functional</x:v>
      </x:c>
      <x:c r="K7" s="114" t="str">
        <x:v>Critical</x:v>
      </x:c>
      <x:c r="L7" s="114" t="str">
        <x:v>Engineer</x:v>
      </x:c>
      <x:c r="M7" s="114" t="str">
        <x:v>UAT</x:v>
      </x:c>
      <x:c r="N7" s="114" t="str"/>
      <x:c r="O7" s="114" t="str">
        <x:v>Not Run</x:v>
      </x:c>
      <x:c r="P7" s="114" t="str"/>
      <x:c r="Q7" s="114" t="str"/>
      <x:c r="R7" s="148" t="str"/>
      <x:c r="S7" s="114" t="str"/>
      <x:c r="T7" s="115" t="str"/>
    </x:row>
    <x:row r="8" ht="58" customHeight="1">
      <x:c r="A8" s="113" t="str">
        <x:v>Yes</x:v>
      </x:c>
      <x:c r="B8" s="114" t="str">
        <x:v>TC-AUTH-003</x:v>
      </x:c>
      <x:c r="C8" s="114" t="str">
        <x:v>REQ-AUTH-01</x:v>
      </x:c>
      <x:c r="D8" s="114" t="str">
        <x:v>Authentication</x:v>
      </x:c>
      <x:c r="E8" s="114" t="str">
        <x:v>เข้าสู่ระบบด้วยบัญชีผู้ใช้อ่านอย่างเดียว</x:v>
      </x:c>
      <x:c r="F8" s="114" t="str">
        <x:v>มีบัญชี user</x:v>
      </x:c>
      <x:c r="G8" s="114" t="str">
        <x:v>เข้าสู่ระบบด้วยบัญชีผู้ใช้</x:v>
      </x:c>
      <x:c r="H8" s="114" t="str">
        <x:v>user / demo123</x:v>
      </x:c>
      <x:c r="I8" s="114" t="str">
        <x:v>เข้าสู่ระบบสำเร็จและไม่มีปุ่มแก้ไขข้อมูล</x:v>
      </x:c>
      <x:c r="J8" s="114" t="str">
        <x:v>Functional</x:v>
      </x:c>
      <x:c r="K8" s="114" t="str">
        <x:v>Critical</x:v>
      </x:c>
      <x:c r="L8" s="114" t="str">
        <x:v>Viewer</x:v>
      </x:c>
      <x:c r="M8" s="114" t="str">
        <x:v>UAT</x:v>
      </x:c>
      <x:c r="N8" s="114" t="str"/>
      <x:c r="O8" s="114" t="str">
        <x:v>Not Run</x:v>
      </x:c>
      <x:c r="P8" s="114" t="str"/>
      <x:c r="Q8" s="114" t="str"/>
      <x:c r="R8" s="148" t="str"/>
      <x:c r="S8" s="114" t="str"/>
      <x:c r="T8" s="115" t="str"/>
    </x:row>
    <x:row r="9" ht="58" customHeight="1">
      <x:c r="A9" s="113" t="str">
        <x:v>Yes</x:v>
      </x:c>
      <x:c r="B9" s="114" t="str">
        <x:v>TC-AUTH-004</x:v>
      </x:c>
      <x:c r="C9" s="114" t="str">
        <x:v>REQ-AUTH-02</x:v>
      </x:c>
      <x:c r="D9" s="114" t="str">
        <x:v>Authentication</x:v>
      </x:c>
      <x:c r="E9" s="114" t="str">
        <x:v>ปฏิเสธรหัสผ่านไม่ถูกต้อง</x:v>
      </x:c>
      <x:c r="F9" s="114" t="str">
        <x:v>อยู่หน้า Login</x:v>
      </x:c>
      <x:c r="G9" s="114" t="str">
        <x:v>กรอกชื่อผู้ใช้ถูกต้องแต่รหัสผ่านผิด</x:v>
      </x:c>
      <x:c r="H9" s="114" t="str">
        <x:v>admin / wrong-password</x:v>
      </x:c>
      <x:c r="I9" s="114" t="str">
        <x:v>ไม่เข้าสู่ระบบและแสดงข้อความที่เข้าใจง่าย</x:v>
      </x:c>
      <x:c r="J9" s="114" t="str">
        <x:v>Negative</x:v>
      </x:c>
      <x:c r="K9" s="114" t="str">
        <x:v>High</x:v>
      </x:c>
      <x:c r="L9" s="114" t="str">
        <x:v>All</x:v>
      </x:c>
      <x:c r="M9" s="114" t="str">
        <x:v>UAT</x:v>
      </x:c>
      <x:c r="N9" s="114" t="str"/>
      <x:c r="O9" s="114" t="str">
        <x:v>Not Run</x:v>
      </x:c>
      <x:c r="P9" s="114" t="str"/>
      <x:c r="Q9" s="114" t="str"/>
      <x:c r="R9" s="148" t="str"/>
      <x:c r="S9" s="114" t="str"/>
      <x:c r="T9" s="115" t="str"/>
    </x:row>
    <x:row r="10" ht="58" customHeight="1">
      <x:c r="A10" s="113" t="str">
        <x:v>Yes</x:v>
      </x:c>
      <x:c r="B10" s="114" t="str">
        <x:v>TC-AUTH-005</x:v>
      </x:c>
      <x:c r="C10" s="114" t="str">
        <x:v>REQ-AUTH-02</x:v>
      </x:c>
      <x:c r="D10" s="114" t="str">
        <x:v>Authentication</x:v>
      </x:c>
      <x:c r="E10" s="114" t="str">
        <x:v>ตรวจช่องบังคับในหน้า Login</x:v>
      </x:c>
      <x:c r="F10" s="114" t="str">
        <x:v>อยู่หน้า Login</x:v>
      </x:c>
      <x:c r="G10" s="114" t="str">
        <x:v>เว้น username หรือ password แล้วกดเข้าสู่ระบบ</x:v>
      </x:c>
      <x:c r="H10" s="114" t="str">
        <x:v>ค่าว่าง</x:v>
      </x:c>
      <x:c r="I10" s="114" t="str">
        <x:v>ระบบแจ้งให้กรอกข้อมูลและไม่ส่งคำขอ Login</x:v>
      </x:c>
      <x:c r="J10" s="114" t="str">
        <x:v>Negative</x:v>
      </x:c>
      <x:c r="K10" s="114" t="str">
        <x:v>Medium</x:v>
      </x:c>
      <x:c r="L10" s="114" t="str">
        <x:v>All</x:v>
      </x:c>
      <x:c r="M10" s="114" t="str">
        <x:v>UAT</x:v>
      </x:c>
      <x:c r="N10" s="114" t="str"/>
      <x:c r="O10" s="114" t="str">
        <x:v>Not Run</x:v>
      </x:c>
      <x:c r="P10" s="114" t="str"/>
      <x:c r="Q10" s="114" t="str"/>
      <x:c r="R10" s="148" t="str"/>
      <x:c r="S10" s="114" t="str"/>
      <x:c r="T10" s="115" t="str"/>
    </x:row>
    <x:row r="11" ht="58" customHeight="1">
      <x:c r="A11" s="113" t="str">
        <x:v>Yes</x:v>
      </x:c>
      <x:c r="B11" s="114" t="str">
        <x:v>TC-AUTH-006</x:v>
      </x:c>
      <x:c r="C11" s="114" t="str">
        <x:v>REQ-AUTH-03</x:v>
      </x:c>
      <x:c r="D11" s="114" t="str">
        <x:v>Authentication</x:v>
      </x:c>
      <x:c r="E11" s="114" t="str">
        <x:v>คืนค่า session หลัง refresh</x:v>
      </x:c>
      <x:c r="F11" s="114" t="str">
        <x:v>เข้าสู่ระบบแล้ว</x:v>
      </x:c>
      <x:c r="G11" s="114" t="str">
        <x:v>Refresh หน้าเว็บ</x:v>
      </x:c>
      <x:c r="H11" s="114" t="str">
        <x:v>session ที่ยังไม่หมดอายุ</x:v>
      </x:c>
      <x:c r="I11" s="114" t="str">
        <x:v>ผู้ใช้ยังอยู่ในระบบและข้อมูลสิทธิ์ไม่เปลี่ยน</x:v>
      </x:c>
      <x:c r="J11" s="114" t="str">
        <x:v>Regression</x:v>
      </x:c>
      <x:c r="K11" s="114" t="str">
        <x:v>High</x:v>
      </x:c>
      <x:c r="L11" s="114" t="str">
        <x:v>All</x:v>
      </x:c>
      <x:c r="M11" s="114" t="str">
        <x:v>UAT</x:v>
      </x:c>
      <x:c r="N11" s="114" t="str"/>
      <x:c r="O11" s="114" t="str">
        <x:v>Not Run</x:v>
      </x:c>
      <x:c r="P11" s="114" t="str"/>
      <x:c r="Q11" s="114" t="str"/>
      <x:c r="R11" s="148" t="str"/>
      <x:c r="S11" s="114" t="str"/>
      <x:c r="T11" s="115" t="str"/>
    </x:row>
    <x:row r="12" ht="58" customHeight="1">
      <x:c r="A12" s="113" t="str">
        <x:v>Yes</x:v>
      </x:c>
      <x:c r="B12" s="114" t="str">
        <x:v>TC-AUTH-007</x:v>
      </x:c>
      <x:c r="C12" s="114" t="str">
        <x:v>REQ-AUTH-03</x:v>
      </x:c>
      <x:c r="D12" s="114" t="str">
        <x:v>Authentication</x:v>
      </x:c>
      <x:c r="E12" s="114" t="str">
        <x:v>ออกจากระบบ</x:v>
      </x:c>
      <x:c r="F12" s="114" t="str">
        <x:v>เข้าสู่ระบบแล้ว</x:v>
      </x:c>
      <x:c r="G12" s="114" t="str">
        <x:v>กด Logout จากเมนูผู้ใช้</x:v>
      </x:c>
      <x:c r="H12" s="114" t="str">
        <x:v>บัญชีใดก็ได้</x:v>
      </x:c>
      <x:c r="I12" s="114" t="str">
        <x:v>session ถูกล้างและกลับหน้า Login</x:v>
      </x:c>
      <x:c r="J12" s="114" t="str">
        <x:v>Security</x:v>
      </x:c>
      <x:c r="K12" s="114" t="str">
        <x:v>Critical</x:v>
      </x:c>
      <x:c r="L12" s="114" t="str">
        <x:v>All</x:v>
      </x:c>
      <x:c r="M12" s="114" t="str">
        <x:v>UAT</x:v>
      </x:c>
      <x:c r="N12" s="114" t="str"/>
      <x:c r="O12" s="114" t="str">
        <x:v>Not Run</x:v>
      </x:c>
      <x:c r="P12" s="114" t="str"/>
      <x:c r="Q12" s="114" t="str"/>
      <x:c r="R12" s="148" t="str"/>
      <x:c r="S12" s="114" t="str"/>
      <x:c r="T12" s="115" t="str"/>
    </x:row>
    <x:row r="13" ht="58" customHeight="1">
      <x:c r="A13" s="113" t="str">
        <x:v>Yes</x:v>
      </x:c>
      <x:c r="B13" s="114" t="str">
        <x:v>TC-SITE-001</x:v>
      </x:c>
      <x:c r="C13" s="114" t="str">
        <x:v>REQ-SITE-01</x:v>
      </x:c>
      <x:c r="D13" s="114" t="str">
        <x:v>Jobsite &amp; Access</x:v>
      </x:c>
      <x:c r="E13" s="114" t="str">
        <x:v>แสดงไซต์ที่ผู้ใช้มีสิทธิ์เท่านั้น</x:v>
      </x:c>
      <x:c r="F13" s="114" t="str">
        <x:v>บัญชี engineer มีสิทธิ์ site-001 และ site-002</x:v>
      </x:c>
      <x:c r="G13" s="114" t="str">
        <x:v>เปิดหน้าเลือกไซต์</x:v>
      </x:c>
      <x:c r="H13" s="114" t="str">
        <x:v>engineer</x:v>
      </x:c>
      <x:c r="I13" s="114" t="str">
        <x:v>เห็นเฉพาะ 2 ไซต์ที่ได้รับสิทธิ์</x:v>
      </x:c>
      <x:c r="J13" s="114" t="str">
        <x:v>Security</x:v>
      </x:c>
      <x:c r="K13" s="114" t="str">
        <x:v>Critical</x:v>
      </x:c>
      <x:c r="L13" s="114" t="str">
        <x:v>Engineer</x:v>
      </x:c>
      <x:c r="M13" s="114" t="str">
        <x:v>UAT</x:v>
      </x:c>
      <x:c r="N13" s="114" t="str"/>
      <x:c r="O13" s="114" t="str">
        <x:v>Not Run</x:v>
      </x:c>
      <x:c r="P13" s="114" t="str"/>
      <x:c r="Q13" s="114" t="str"/>
      <x:c r="R13" s="148" t="str"/>
      <x:c r="S13" s="114" t="str"/>
      <x:c r="T13" s="115" t="str"/>
    </x:row>
    <x:row r="14" ht="58" customHeight="1">
      <x:c r="A14" s="113" t="str">
        <x:v>Yes</x:v>
      </x:c>
      <x:c r="B14" s="114" t="str">
        <x:v>TC-SITE-002</x:v>
      </x:c>
      <x:c r="C14" s="114" t="str">
        <x:v>REQ-SITE-01</x:v>
      </x:c>
      <x:c r="D14" s="114" t="str">
        <x:v>Jobsite &amp; Access</x:v>
      </x:c>
      <x:c r="E14" s="114" t="str">
        <x:v>Admin เห็นไซต์ทั้งหมด</x:v>
      </x:c>
      <x:c r="F14" s="114" t="str">
        <x:v>เข้าสู่ระบบเป็น admin</x:v>
      </x:c>
      <x:c r="G14" s="114" t="str">
        <x:v>เปิดหน้าเลือกไซต์</x:v>
      </x:c>
      <x:c r="H14" s="114" t="str">
        <x:v>6 jobsites</x:v>
      </x:c>
      <x:c r="I14" s="114" t="str">
        <x:v>เห็นไซต์ทั้งหมดที่ active</x:v>
      </x:c>
      <x:c r="J14" s="114" t="str">
        <x:v>Functional</x:v>
      </x:c>
      <x:c r="K14" s="114" t="str">
        <x:v>High</x:v>
      </x:c>
      <x:c r="L14" s="114" t="str">
        <x:v>Admin</x:v>
      </x:c>
      <x:c r="M14" s="114" t="str">
        <x:v>UAT</x:v>
      </x:c>
      <x:c r="N14" s="114" t="str"/>
      <x:c r="O14" s="114" t="str">
        <x:v>Not Run</x:v>
      </x:c>
      <x:c r="P14" s="114" t="str"/>
      <x:c r="Q14" s="114" t="str"/>
      <x:c r="R14" s="148" t="str"/>
      <x:c r="S14" s="114" t="str"/>
      <x:c r="T14" s="115" t="str"/>
    </x:row>
    <x:row r="15" ht="58" customHeight="1">
      <x:c r="A15" s="113" t="str">
        <x:v>Yes</x:v>
      </x:c>
      <x:c r="B15" s="114" t="str">
        <x:v>TC-SITE-003</x:v>
      </x:c>
      <x:c r="C15" s="114" t="str">
        <x:v>REQ-SITE-01</x:v>
      </x:c>
      <x:c r="D15" s="114" t="str">
        <x:v>Jobsite &amp; Access</x:v>
      </x:c>
      <x:c r="E15" s="114" t="str">
        <x:v>เลือกไซต์และโหลดข้อมูลเฉพาะไซต์</x:v>
      </x:c>
      <x:c r="F15" s="114" t="str">
        <x:v>อยู่หน้าเลือกไซต์</x:v>
      </x:c>
      <x:c r="G15" s="114" t="str">
        <x:v>เลือก site-001 แล้วเปิด Dashboard</x:v>
      </x:c>
      <x:c r="H15" s="114" t="str">
        <x:v>site-001</x:v>
      </x:c>
      <x:c r="I15" s="114" t="str">
        <x:v>ชื่อไซต์และข้อมูลทุกส่วนตรงกับไซต์ที่เลือก</x:v>
      </x:c>
      <x:c r="J15" s="114" t="str">
        <x:v>Integration</x:v>
      </x:c>
      <x:c r="K15" s="114" t="str">
        <x:v>Critical</x:v>
      </x:c>
      <x:c r="L15" s="114" t="str">
        <x:v>All</x:v>
      </x:c>
      <x:c r="M15" s="114" t="str">
        <x:v>UAT</x:v>
      </x:c>
      <x:c r="N15" s="114" t="str"/>
      <x:c r="O15" s="114" t="str">
        <x:v>Not Run</x:v>
      </x:c>
      <x:c r="P15" s="114" t="str"/>
      <x:c r="Q15" s="114" t="str"/>
      <x:c r="R15" s="148" t="str"/>
      <x:c r="S15" s="114" t="str"/>
      <x:c r="T15" s="115" t="str"/>
    </x:row>
    <x:row r="16" ht="58" customHeight="1">
      <x:c r="A16" s="113" t="str">
        <x:v>Yes</x:v>
      </x:c>
      <x:c r="B16" s="114" t="str">
        <x:v>TC-SITE-004</x:v>
      </x:c>
      <x:c r="C16" s="114" t="str">
        <x:v>REQ-SITE-02</x:v>
      </x:c>
      <x:c r="D16" s="114" t="str">
        <x:v>Jobsite &amp; Access</x:v>
      </x:c>
      <x:c r="E16" s="114" t="str">
        <x:v>ปุ่มกลับสู่หน้าเลือกไซต์ทำงาน</x:v>
      </x:c>
      <x:c r="F16" s="114" t="str">
        <x:v>อยู่ภายในหน้าไซต์</x:v>
      </x:c>
      <x:c r="G16" s="114" t="str">
        <x:v>กดปุ่มซ้ายล่าง 'กลับสู่หน้าเลือกไซต์'</x:v>
      </x:c>
      <x:c r="H16" s="114" t="str">
        <x:v>-</x:v>
      </x:c>
      <x:c r="I16" s="114" t="str">
        <x:v>กลับหน้าเลือกไซต์โดยไม่ Logout</x:v>
      </x:c>
      <x:c r="J16" s="114" t="str">
        <x:v>Regression</x:v>
      </x:c>
      <x:c r="K16" s="114" t="str">
        <x:v>High</x:v>
      </x:c>
      <x:c r="L16" s="114" t="str">
        <x:v>All</x:v>
      </x:c>
      <x:c r="M16" s="114" t="str">
        <x:v>UAT</x:v>
      </x:c>
      <x:c r="N16" s="114" t="str"/>
      <x:c r="O16" s="114" t="str">
        <x:v>Not Run</x:v>
      </x:c>
      <x:c r="P16" s="114" t="str"/>
      <x:c r="Q16" s="114" t="str"/>
      <x:c r="R16" s="148" t="str"/>
      <x:c r="S16" s="114" t="str"/>
      <x:c r="T16" s="115" t="str"/>
    </x:row>
    <x:row r="17" ht="58" customHeight="1">
      <x:c r="A17" s="113" t="str">
        <x:v>Yes</x:v>
      </x:c>
      <x:c r="B17" s="114" t="str">
        <x:v>TC-SITE-005</x:v>
      </x:c>
      <x:c r="C17" s="114" t="str">
        <x:v>REQ-SITE-02</x:v>
      </x:c>
      <x:c r="D17" s="114" t="str">
        <x:v>Jobsite &amp; Access</x:v>
      </x:c>
      <x:c r="E17" s="114" t="str">
        <x:v>สลับไซต์ไม่ปนข้อมูล</x:v>
      </x:c>
      <x:c r="F17" s="114" t="str">
        <x:v>มีสิทธิ์มากกว่า 1 ไซต์</x:v>
      </x:c>
      <x:c r="G17" s="114" t="str">
        <x:v>เปิด site-001 จดข้อมูล แล้วกลับและเลือก site-002</x:v>
      </x:c>
      <x:c r="H17" s="114" t="str">
        <x:v>site-001, site-002</x:v>
      </x:c>
      <x:c r="I17" s="114" t="str">
        <x:v>ข้อมูลของทั้งสองไซต์ไม่ปะปนกัน</x:v>
      </x:c>
      <x:c r="J17" s="114" t="str">
        <x:v>Integration</x:v>
      </x:c>
      <x:c r="K17" s="114" t="str">
        <x:v>Critical</x:v>
      </x:c>
      <x:c r="L17" s="114" t="str">
        <x:v>Admin/Engineer</x:v>
      </x:c>
      <x:c r="M17" s="114" t="str">
        <x:v>UAT</x:v>
      </x:c>
      <x:c r="N17" s="114" t="str"/>
      <x:c r="O17" s="114" t="str">
        <x:v>Not Run</x:v>
      </x:c>
      <x:c r="P17" s="114" t="str"/>
      <x:c r="Q17" s="114" t="str"/>
      <x:c r="R17" s="148" t="str"/>
      <x:c r="S17" s="114" t="str"/>
      <x:c r="T17" s="115" t="str"/>
    </x:row>
    <x:row r="18" ht="58" customHeight="1">
      <x:c r="A18" s="113" t="str">
        <x:v>Yes</x:v>
      </x:c>
      <x:c r="B18" s="114" t="str">
        <x:v>TC-SITE-006</x:v>
      </x:c>
      <x:c r="C18" s="114" t="str">
        <x:v>REQ-SITE-02</x:v>
      </x:c>
      <x:c r="D18" s="114" t="str">
        <x:v>Jobsite &amp; Access</x:v>
      </x:c>
      <x:c r="E18" s="114" t="str">
        <x:v>ผู้ใช้ไม่มีสิทธิ์เปิด URL ไซต์อื่น</x:v>
      </x:c>
      <x:c r="F18" s="114" t="str">
        <x:v>เข้าสู่ระบบเป็น user ที่มีสิทธิ์ site-001</x:v>
      </x:c>
      <x:c r="G18" s="114" t="str">
        <x:v>แก้ URL/hash หรือ state ให้ชี้ site-003</x:v>
      </x:c>
      <x:c r="H18" s="114" t="str">
        <x:v>site-003</x:v>
      </x:c>
      <x:c r="I18" s="114" t="str">
        <x:v>ระบบปฏิเสธหรือพากลับไซต์ที่มีสิทธิ์</x:v>
      </x:c>
      <x:c r="J18" s="114" t="str">
        <x:v>Security</x:v>
      </x:c>
      <x:c r="K18" s="114" t="str">
        <x:v>Critical</x:v>
      </x:c>
      <x:c r="L18" s="114" t="str">
        <x:v>Viewer</x:v>
      </x:c>
      <x:c r="M18" s="114" t="str">
        <x:v>UAT</x:v>
      </x:c>
      <x:c r="N18" s="114" t="str"/>
      <x:c r="O18" s="114" t="str">
        <x:v>Not Run</x:v>
      </x:c>
      <x:c r="P18" s="114" t="str"/>
      <x:c r="Q18" s="114" t="str"/>
      <x:c r="R18" s="148" t="str"/>
      <x:c r="S18" s="114" t="str"/>
      <x:c r="T18" s="115" t="str"/>
    </x:row>
    <x:row r="19" ht="58" customHeight="1">
      <x:c r="A19" s="113" t="str">
        <x:v>Yes</x:v>
      </x:c>
      <x:c r="B19" s="114" t="str">
        <x:v>TC-DASH-001</x:v>
      </x:c>
      <x:c r="C19" s="114" t="str">
        <x:v>REQ-DASH-01</x:v>
      </x:c>
      <x:c r="D19" s="114" t="str">
        <x:v>Dashboard</x:v>
      </x:c>
      <x:c r="E19" s="114" t="str">
        <x:v>แสดง KPI แผนและผลงานจริง</x:v>
      </x:c>
      <x:c r="F19" s="114" t="str">
        <x:v>มีแผนรายปีและรายงานอนุมัติ</x:v>
      </x:c>
      <x:c r="G19" s="114" t="str">
        <x:v>เปิด Dashboard</x:v>
      </x:c>
      <x:c r="H19" s="114" t="str">
        <x:v>ข้อมูลปีปัจจุบัน</x:v>
      </x:c>
      <x:c r="I19" s="114" t="str">
        <x:v>KPI Plan/Actual/Remaining คำนวณถูกต้อง</x:v>
      </x:c>
      <x:c r="J19" s="114" t="str">
        <x:v>Functional</x:v>
      </x:c>
      <x:c r="K19" s="114" t="str">
        <x:v>Critical</x:v>
      </x:c>
      <x:c r="L19" s="114" t="str">
        <x:v>All</x:v>
      </x:c>
      <x:c r="M19" s="114" t="str">
        <x:v>UAT</x:v>
      </x:c>
      <x:c r="N19" s="114" t="str"/>
      <x:c r="O19" s="114" t="str">
        <x:v>Not Run</x:v>
      </x:c>
      <x:c r="P19" s="114" t="str"/>
      <x:c r="Q19" s="114" t="str"/>
      <x:c r="R19" s="148" t="str"/>
      <x:c r="S19" s="114" t="str"/>
      <x:c r="T19" s="115" t="str"/>
    </x:row>
    <x:row r="20" ht="58" customHeight="1">
      <x:c r="A20" s="113" t="str">
        <x:v>Yes</x:v>
      </x:c>
      <x:c r="B20" s="114" t="str">
        <x:v>TC-DASH-002</x:v>
      </x:c>
      <x:c r="C20" s="114" t="str">
        <x:v>REQ-DASH-01</x:v>
      </x:c>
      <x:c r="D20" s="114" t="str">
        <x:v>Dashboard</x:v>
      </x:c>
      <x:c r="E20" s="114" t="str">
        <x:v>นับ Actual เฉพาะรายงาน Approved</x:v>
      </x:c>
      <x:c r="F20" s="114" t="str">
        <x:v>มีรายงาน Draft, Submitted, Approved</x:v>
      </x:c>
      <x:c r="G20" s="114" t="str">
        <x:v>เปิด Dashboard และเทียบจำนวน</x:v>
      </x:c>
      <x:c r="H20" s="114" t="str">
        <x:v>หลายสถานะ</x:v>
      </x:c>
      <x:c r="I20" s="114" t="str">
        <x:v>Actual นับเฉพาะ Approved</x:v>
      </x:c>
      <x:c r="J20" s="114" t="str">
        <x:v>Integration</x:v>
      </x:c>
      <x:c r="K20" s="114" t="str">
        <x:v>Critical</x:v>
      </x:c>
      <x:c r="L20" s="114" t="str">
        <x:v>All</x:v>
      </x:c>
      <x:c r="M20" s="114" t="str">
        <x:v>UAT</x:v>
      </x:c>
      <x:c r="N20" s="114" t="str"/>
      <x:c r="O20" s="114" t="str">
        <x:v>Not Run</x:v>
      </x:c>
      <x:c r="P20" s="114" t="str"/>
      <x:c r="Q20" s="114" t="str"/>
      <x:c r="R20" s="148" t="str"/>
      <x:c r="S20" s="114" t="str"/>
      <x:c r="T20" s="115" t="str"/>
    </x:row>
    <x:row r="21" ht="58" customHeight="1">
      <x:c r="A21" s="113" t="str">
        <x:v>Yes</x:v>
      </x:c>
      <x:c r="B21" s="114" t="str">
        <x:v>TC-DASH-003</x:v>
      </x:c>
      <x:c r="C21" s="114" t="str">
        <x:v>REQ-DASH-01</x:v>
      </x:c>
      <x:c r="D21" s="114" t="str">
        <x:v>Dashboard</x:v>
      </x:c>
      <x:c r="E21" s="114" t="str">
        <x:v>แสดงงานรอดำเนินการ</x:v>
      </x:c>
      <x:c r="F21" s="114" t="str">
        <x:v>มี Work Order หลายสถานะ</x:v>
      </x:c>
      <x:c r="G21" s="114" t="str">
        <x:v>เปิด Dashboard</x:v>
      </x:c>
      <x:c r="H21" s="114" t="str">
        <x:v>Open/In Progress/Closed</x:v>
      </x:c>
      <x:c r="I21" s="114" t="str">
        <x:v>จำนวน pending ตรงกับนิยามสถานะที่ยังไม่ปิด</x:v>
      </x:c>
      <x:c r="J21" s="114" t="str">
        <x:v>Functional</x:v>
      </x:c>
      <x:c r="K21" s="114" t="str">
        <x:v>High</x:v>
      </x:c>
      <x:c r="L21" s="114" t="str">
        <x:v>All</x:v>
      </x:c>
      <x:c r="M21" s="114" t="str">
        <x:v>UAT</x:v>
      </x:c>
      <x:c r="N21" s="114" t="str"/>
      <x:c r="O21" s="114" t="str">
        <x:v>Not Run</x:v>
      </x:c>
      <x:c r="P21" s="114" t="str"/>
      <x:c r="Q21" s="114" t="str"/>
      <x:c r="R21" s="148" t="str"/>
      <x:c r="S21" s="114" t="str"/>
      <x:c r="T21" s="115" t="str"/>
    </x:row>
    <x:row r="22" ht="58" customHeight="1">
      <x:c r="A22" s="113" t="str">
        <x:v>Yes</x:v>
      </x:c>
      <x:c r="B22" s="114" t="str">
        <x:v>TC-DASH-004</x:v>
      </x:c>
      <x:c r="C22" s="114" t="str">
        <x:v>REQ-DASH-02</x:v>
      </x:c>
      <x:c r="D22" s="114" t="str">
        <x:v>Dashboard</x:v>
      </x:c>
      <x:c r="E22" s="114" t="str">
        <x:v>กราฟรายเดือนตรงกับข้อมูล</x:v>
      </x:c>
      <x:c r="F22" s="114" t="str">
        <x:v>มี Approved report หลายเดือน</x:v>
      </x:c>
      <x:c r="G22" s="114" t="str">
        <x:v>เทียบกราฟกับรายการรายงาน</x:v>
      </x:c>
      <x:c r="H22" s="114" t="str">
        <x:v>ม.ค.-ธ.ค.</x:v>
      </x:c>
      <x:c r="I22" s="114" t="str">
        <x:v>แต่ละเดือนแสดงจำนวนถูกต้อง</x:v>
      </x:c>
      <x:c r="J22" s="114" t="str">
        <x:v>Functional</x:v>
      </x:c>
      <x:c r="K22" s="114" t="str">
        <x:v>High</x:v>
      </x:c>
      <x:c r="L22" s="114" t="str">
        <x:v>All</x:v>
      </x:c>
      <x:c r="M22" s="114" t="str">
        <x:v>UAT</x:v>
      </x:c>
      <x:c r="N22" s="114" t="str"/>
      <x:c r="O22" s="114" t="str">
        <x:v>Not Run</x:v>
      </x:c>
      <x:c r="P22" s="114" t="str"/>
      <x:c r="Q22" s="114" t="str"/>
      <x:c r="R22" s="148" t="str"/>
      <x:c r="S22" s="114" t="str"/>
      <x:c r="T22" s="115" t="str"/>
    </x:row>
    <x:row r="23" ht="58" customHeight="1">
      <x:c r="A23" s="113" t="str">
        <x:v>Yes</x:v>
      </x:c>
      <x:c r="B23" s="114" t="str">
        <x:v>TC-DASH-005</x:v>
      </x:c>
      <x:c r="C23" s="114" t="str">
        <x:v>REQ-DASH-02</x:v>
      </x:c>
      <x:c r="D23" s="114" t="str">
        <x:v>Dashboard</x:v>
      </x:c>
      <x:c r="E23" s="114" t="str">
        <x:v>Dashboard แยกตามไซต์</x:v>
      </x:c>
      <x:c r="F23" s="114" t="str">
        <x:v>มีข้อมูลต่างกัน 2 ไซต์</x:v>
      </x:c>
      <x:c r="G23" s="114" t="str">
        <x:v>สลับไซต์และเทียบ KPI</x:v>
      </x:c>
      <x:c r="H23" s="114" t="str">
        <x:v>site-001, site-002</x:v>
      </x:c>
      <x:c r="I23" s="114" t="str">
        <x:v>KPI เปลี่ยนตามไซต์และไม่มีข้อมูลข้ามไซต์</x:v>
      </x:c>
      <x:c r="J23" s="114" t="str">
        <x:v>Security</x:v>
      </x:c>
      <x:c r="K23" s="114" t="str">
        <x:v>Critical</x:v>
      </x:c>
      <x:c r="L23" s="114" t="str">
        <x:v>All</x:v>
      </x:c>
      <x:c r="M23" s="114" t="str">
        <x:v>UAT</x:v>
      </x:c>
      <x:c r="N23" s="114" t="str"/>
      <x:c r="O23" s="114" t="str">
        <x:v>Not Run</x:v>
      </x:c>
      <x:c r="P23" s="114" t="str"/>
      <x:c r="Q23" s="114" t="str"/>
      <x:c r="R23" s="148" t="str"/>
      <x:c r="S23" s="114" t="str"/>
      <x:c r="T23" s="115" t="str"/>
    </x:row>
    <x:row r="24" ht="58" customHeight="1">
      <x:c r="A24" s="113" t="str">
        <x:v>Yes</x:v>
      </x:c>
      <x:c r="B24" s="114" t="str">
        <x:v>TC-DASH-006</x:v>
      </x:c>
      <x:c r="C24" s="114" t="str">
        <x:v>REQ-DASH-02</x:v>
      </x:c>
      <x:c r="D24" s="114" t="str">
        <x:v>Dashboard</x:v>
      </x:c>
      <x:c r="E24" s="114" t="str">
        <x:v>สถานะไม่มีข้อมูล</x:v>
      </x:c>
      <x:c r="F24" s="114" t="str">
        <x:v>เลือกไซต์/ปีที่ไม่มีรายการ</x:v>
      </x:c>
      <x:c r="G24" s="114" t="str">
        <x:v>เปิด Dashboard</x:v>
      </x:c>
      <x:c r="H24" s="114" t="str">
        <x:v>ปีไม่มีข้อมูล</x:v>
      </x:c>
      <x:c r="I24" s="114" t="str">
        <x:v>แสดง 0 หรือ empty state โดยไม่เกิด error</x:v>
      </x:c>
      <x:c r="J24" s="114" t="str">
        <x:v>Negative</x:v>
      </x:c>
      <x:c r="K24" s="114" t="str">
        <x:v>Medium</x:v>
      </x:c>
      <x:c r="L24" s="114" t="str">
        <x:v>All</x:v>
      </x:c>
      <x:c r="M24" s="114" t="str">
        <x:v>UAT</x:v>
      </x:c>
      <x:c r="N24" s="114" t="str"/>
      <x:c r="O24" s="114" t="str">
        <x:v>Not Run</x:v>
      </x:c>
      <x:c r="P24" s="114" t="str"/>
      <x:c r="Q24" s="114" t="str"/>
      <x:c r="R24" s="148" t="str"/>
      <x:c r="S24" s="114" t="str"/>
      <x:c r="T24" s="115" t="str"/>
    </x:row>
    <x:row r="25" ht="58" customHeight="1">
      <x:c r="A25" s="113" t="str">
        <x:v>Yes</x:v>
      </x:c>
      <x:c r="B25" s="114" t="str">
        <x:v>TC-PLAN-001</x:v>
      </x:c>
      <x:c r="C25" s="114" t="str">
        <x:v>REQ-PLAN-01</x:v>
      </x:c>
      <x:c r="D25" s="114" t="str">
        <x:v>PM Plan</x:v>
      </x:c>
      <x:c r="E25" s="114" t="str">
        <x:v>Admin สร้างแผนรอบ 1 เดือน</x:v>
      </x:c>
      <x:c r="F25" s="114" t="str">
        <x:v>เข้าสู่ระบบเป็น admin</x:v>
      </x:c>
      <x:c r="G25" s="114" t="str">
        <x:v>สร้างแผนรายปี รอบทุก 1 เดือน</x:v>
      </x:c>
      <x:c r="H25" s="114" t="str">
        <x:v>เป้าหมาย 1,200 ชั่วโมง</x:v>
      </x:c>
      <x:c r="I25" s="114" t="str">
        <x:v>สร้าง 12 รอบและผลรวมเป้าหมายเท่ากับ 1,200</x:v>
      </x:c>
      <x:c r="J25" s="114" t="str">
        <x:v>Functional</x:v>
      </x:c>
      <x:c r="K25" s="114" t="str">
        <x:v>Critical</x:v>
      </x:c>
      <x:c r="L25" s="114" t="str">
        <x:v>Admin</x:v>
      </x:c>
      <x:c r="M25" s="114" t="str">
        <x:v>UAT</x:v>
      </x:c>
      <x:c r="N25" s="114" t="str"/>
      <x:c r="O25" s="114" t="str">
        <x:v>Not Run</x:v>
      </x:c>
      <x:c r="P25" s="114" t="str"/>
      <x:c r="Q25" s="114" t="str"/>
      <x:c r="R25" s="148" t="str"/>
      <x:c r="S25" s="114" t="str"/>
      <x:c r="T25" s="115" t="str"/>
    </x:row>
    <x:row r="26" ht="58" customHeight="1">
      <x:c r="A26" s="113" t="str">
        <x:v>Yes</x:v>
      </x:c>
      <x:c r="B26" s="114" t="str">
        <x:v>TC-PLAN-002</x:v>
      </x:c>
      <x:c r="C26" s="114" t="str">
        <x:v>REQ-PLAN-01</x:v>
      </x:c>
      <x:c r="D26" s="114" t="str">
        <x:v>PM Plan</x:v>
      </x:c>
      <x:c r="E26" s="114" t="str">
        <x:v>Admin สร้างแผนรอบ 2 เดือน</x:v>
      </x:c>
      <x:c r="F26" s="114" t="str">
        <x:v>เข้าสู่ระบบเป็น admin</x:v>
      </x:c>
      <x:c r="G26" s="114" t="str">
        <x:v>สร้างแผนรอบทุก 2 เดือน</x:v>
      </x:c>
      <x:c r="H26" s="114" t="str">
        <x:v>เป้าหมาย 180 ชั่วโมง</x:v>
      </x:c>
      <x:c r="I26" s="114" t="str">
        <x:v>สร้าง 6 รอบและกระจายค่าโดยผลรวมเท่ากับ 180</x:v>
      </x:c>
      <x:c r="J26" s="114" t="str">
        <x:v>Functional</x:v>
      </x:c>
      <x:c r="K26" s="114" t="str">
        <x:v>Critical</x:v>
      </x:c>
      <x:c r="L26" s="114" t="str">
        <x:v>Admin</x:v>
      </x:c>
      <x:c r="M26" s="114" t="str">
        <x:v>UAT</x:v>
      </x:c>
      <x:c r="N26" s="114" t="str"/>
      <x:c r="O26" s="114" t="str">
        <x:v>Not Run</x:v>
      </x:c>
      <x:c r="P26" s="114" t="str"/>
      <x:c r="Q26" s="114" t="str"/>
      <x:c r="R26" s="148" t="str"/>
      <x:c r="S26" s="114" t="str"/>
      <x:c r="T26" s="115" t="str"/>
    </x:row>
    <x:row r="27" ht="58" customHeight="1">
      <x:c r="A27" s="113" t="str">
        <x:v>Yes</x:v>
      </x:c>
      <x:c r="B27" s="114" t="str">
        <x:v>TC-PLAN-003</x:v>
      </x:c>
      <x:c r="C27" s="114" t="str">
        <x:v>REQ-PLAN-01</x:v>
      </x:c>
      <x:c r="D27" s="114" t="str">
        <x:v>PM Plan</x:v>
      </x:c>
      <x:c r="E27" s="114" t="str">
        <x:v>Admin สร้างแผนรอบ 3 เดือน</x:v>
      </x:c>
      <x:c r="F27" s="114" t="str">
        <x:v>เข้าสู่ระบบเป็น admin</x:v>
      </x:c>
      <x:c r="G27" s="114" t="str">
        <x:v>สร้างแผนรอบทุก 3 เดือน</x:v>
      </x:c>
      <x:c r="H27" s="114" t="str">
        <x:v>เป้าหมาย 400 ชั่วโมง</x:v>
      </x:c>
      <x:c r="I27" s="114" t="str">
        <x:v>สร้าง 4 รอบและผลรวมเท่ากับเป้าหมาย</x:v>
      </x:c>
      <x:c r="J27" s="114" t="str">
        <x:v>Functional</x:v>
      </x:c>
      <x:c r="K27" s="114" t="str">
        <x:v>High</x:v>
      </x:c>
      <x:c r="L27" s="114" t="str">
        <x:v>Admin</x:v>
      </x:c>
      <x:c r="M27" s="114" t="str">
        <x:v>UAT</x:v>
      </x:c>
      <x:c r="N27" s="114" t="str"/>
      <x:c r="O27" s="114" t="str">
        <x:v>Not Run</x:v>
      </x:c>
      <x:c r="P27" s="114" t="str"/>
      <x:c r="Q27" s="114" t="str"/>
      <x:c r="R27" s="148" t="str"/>
      <x:c r="S27" s="114" t="str"/>
      <x:c r="T27" s="115" t="str"/>
    </x:row>
    <x:row r="28" ht="58" customHeight="1">
      <x:c r="A28" s="113" t="str">
        <x:v>Yes</x:v>
      </x:c>
      <x:c r="B28" s="114" t="str">
        <x:v>TC-PLAN-004</x:v>
      </x:c>
      <x:c r="C28" s="114" t="str">
        <x:v>REQ-PLAN-01</x:v>
      </x:c>
      <x:c r="D28" s="114" t="str">
        <x:v>PM Plan</x:v>
      </x:c>
      <x:c r="E28" s="114" t="str">
        <x:v>จัดการเศษเป้าหมายให้ผลรวมตรง</x:v>
      </x:c>
      <x:c r="F28" s="114" t="str">
        <x:v>เข้าสู่ระบบเป็น admin</x:v>
      </x:c>
      <x:c r="G28" s="114" t="str">
        <x:v>สร้างแผนที่หารจำนวนรอบไม่ลงตัว</x:v>
      </x:c>
      <x:c r="H28" s="114" t="str">
        <x:v>101 ชั่วโมง / 12 รอบ</x:v>
      </x:c>
      <x:c r="I28" s="114" t="str">
        <x:v>รอบสุดท้ายรับค่าเศษและผลรวมเป็น 101 พอดี</x:v>
      </x:c>
      <x:c r="J28" s="114" t="str">
        <x:v>Regression</x:v>
      </x:c>
      <x:c r="K28" s="114" t="str">
        <x:v>High</x:v>
      </x:c>
      <x:c r="L28" s="114" t="str">
        <x:v>Admin</x:v>
      </x:c>
      <x:c r="M28" s="114" t="str">
        <x:v>UAT</x:v>
      </x:c>
      <x:c r="N28" s="114" t="str"/>
      <x:c r="O28" s="114" t="str">
        <x:v>Not Run</x:v>
      </x:c>
      <x:c r="P28" s="114" t="str"/>
      <x:c r="Q28" s="114" t="str"/>
      <x:c r="R28" s="148" t="str"/>
      <x:c r="S28" s="114" t="str"/>
      <x:c r="T28" s="115" t="str"/>
    </x:row>
    <x:row r="29" ht="58" customHeight="1">
      <x:c r="A29" s="113" t="str">
        <x:v>Yes</x:v>
      </x:c>
      <x:c r="B29" s="114" t="str">
        <x:v>TC-PLAN-005</x:v>
      </x:c>
      <x:c r="C29" s="114" t="str">
        <x:v>REQ-PLAN-02</x:v>
      </x:c>
      <x:c r="D29" s="114" t="str">
        <x:v>PM Plan</x:v>
      </x:c>
      <x:c r="E29" s="114" t="str">
        <x:v>ตรวจข้อมูลบังคับและค่าบวก</x:v>
      </x:c>
      <x:c r="F29" s="114" t="str">
        <x:v>อยู่หน้าสร้างแผน</x:v>
      </x:c>
      <x:c r="G29" s="114" t="str">
        <x:v>เว้นปี/เป้าหมาย หรือกรอกค่าติดลบ</x:v>
      </x:c>
      <x:c r="H29" s="114" t="str">
        <x:v>-1, ค่าว่าง</x:v>
      </x:c>
      <x:c r="I29" s="114" t="str">
        <x:v>ไม่บันทึกและแจ้งจุดที่ต้องแก้</x:v>
      </x:c>
      <x:c r="J29" s="114" t="str">
        <x:v>Negative</x:v>
      </x:c>
      <x:c r="K29" s="114" t="str">
        <x:v>High</x:v>
      </x:c>
      <x:c r="L29" s="114" t="str">
        <x:v>Admin</x:v>
      </x:c>
      <x:c r="M29" s="114" t="str">
        <x:v>UAT</x:v>
      </x:c>
      <x:c r="N29" s="114" t="str"/>
      <x:c r="O29" s="114" t="str">
        <x:v>Not Run</x:v>
      </x:c>
      <x:c r="P29" s="114" t="str"/>
      <x:c r="Q29" s="114" t="str"/>
      <x:c r="R29" s="148" t="str"/>
      <x:c r="S29" s="114" t="str"/>
      <x:c r="T29" s="115" t="str"/>
    </x:row>
    <x:row r="30" ht="58" customHeight="1">
      <x:c r="A30" s="113" t="str">
        <x:v>Yes</x:v>
      </x:c>
      <x:c r="B30" s="114" t="str">
        <x:v>TC-PLAN-006</x:v>
      </x:c>
      <x:c r="C30" s="114" t="str">
        <x:v>REQ-PLAN-02</x:v>
      </x:c>
      <x:c r="D30" s="114" t="str">
        <x:v>PM Plan</x:v>
      </x:c>
      <x:c r="E30" s="114" t="str">
        <x:v>แก้ไขแผนและรอบ</x:v>
      </x:c>
      <x:c r="F30" s="114" t="str">
        <x:v>มีแผนที่ยังแก้ได้</x:v>
      </x:c>
      <x:c r="G30" s="114" t="str">
        <x:v>แก้เป้าหมายหรือคำอธิบายแล้วบันทึก</x:v>
      </x:c>
      <x:c r="H30" s="114" t="str">
        <x:v>เป้าหมายใหม่</x:v>
      </x:c>
      <x:c r="I30" s="114" t="str">
        <x:v>ข้อมูลใหม่แสดงครบและไม่ทำลายรายงานเดิม</x:v>
      </x:c>
      <x:c r="J30" s="114" t="str">
        <x:v>Functional</x:v>
      </x:c>
      <x:c r="K30" s="114" t="str">
        <x:v>High</x:v>
      </x:c>
      <x:c r="L30" s="114" t="str">
        <x:v>Admin</x:v>
      </x:c>
      <x:c r="M30" s="114" t="str">
        <x:v>UAT</x:v>
      </x:c>
      <x:c r="N30" s="114" t="str"/>
      <x:c r="O30" s="114" t="str">
        <x:v>Not Run</x:v>
      </x:c>
      <x:c r="P30" s="114" t="str"/>
      <x:c r="Q30" s="114" t="str"/>
      <x:c r="R30" s="148" t="str"/>
      <x:c r="S30" s="114" t="str"/>
      <x:c r="T30" s="115" t="str"/>
    </x:row>
    <x:row r="31" ht="58" customHeight="1">
      <x:c r="A31" s="113" t="str">
        <x:v>Yes</x:v>
      </x:c>
      <x:c r="B31" s="114" t="str">
        <x:v>TC-PLAN-007</x:v>
      </x:c>
      <x:c r="C31" s="114" t="str">
        <x:v>REQ-PLAN-03</x:v>
      </x:c>
      <x:c r="D31" s="114" t="str">
        <x:v>PM Plan</x:v>
      </x:c>
      <x:c r="E31" s="114" t="str">
        <x:v>ลบแผนที่ยังไม่มีรายงาน</x:v>
      </x:c>
      <x:c r="F31" s="114" t="str">
        <x:v>มีแผนใหม่ไม่มี service report</x:v>
      </x:c>
      <x:c r="G31" s="114" t="str">
        <x:v>กดลบและยืนยัน</x:v>
      </x:c>
      <x:c r="H31" s="114" t="str">
        <x:v>plan ว่าง</x:v>
      </x:c>
      <x:c r="I31" s="114" t="str">
        <x:v>ลบแผนและรอบที่เกี่ยวข้องสำเร็จ</x:v>
      </x:c>
      <x:c r="J31" s="114" t="str">
        <x:v>Functional</x:v>
      </x:c>
      <x:c r="K31" s="114" t="str">
        <x:v>High</x:v>
      </x:c>
      <x:c r="L31" s="114" t="str">
        <x:v>Admin</x:v>
      </x:c>
      <x:c r="M31" s="114" t="str">
        <x:v>UAT</x:v>
      </x:c>
      <x:c r="N31" s="114" t="str"/>
      <x:c r="O31" s="114" t="str">
        <x:v>Not Run</x:v>
      </x:c>
      <x:c r="P31" s="114" t="str"/>
      <x:c r="Q31" s="114" t="str"/>
      <x:c r="R31" s="148" t="str"/>
      <x:c r="S31" s="114" t="str"/>
      <x:c r="T31" s="115" t="str"/>
    </x:row>
    <x:row r="32" ht="58" customHeight="1">
      <x:c r="A32" s="113" t="str">
        <x:v>Yes</x:v>
      </x:c>
      <x:c r="B32" s="114" t="str">
        <x:v>TC-PLAN-008</x:v>
      </x:c>
      <x:c r="C32" s="114" t="str">
        <x:v>REQ-PLAN-03</x:v>
      </x:c>
      <x:c r="D32" s="114" t="str">
        <x:v>PM Plan</x:v>
      </x:c>
      <x:c r="E32" s="114" t="str">
        <x:v>ป้องกันลบแผนที่มีรายงานแล้ว</x:v>
      </x:c>
      <x:c r="F32" s="114" t="str">
        <x:v>แผนมี service report เชื่อมอยู่</x:v>
      </x:c>
      <x:c r="G32" s="114" t="str">
        <x:v>กดลบแผน</x:v>
      </x:c>
      <x:c r="H32" s="114" t="str">
        <x:v>plan มี report</x:v>
      </x:c>
      <x:c r="I32" s="114" t="str">
        <x:v>ระบบไม่ลบและแจ้งเหตุผล</x:v>
      </x:c>
      <x:c r="J32" s="114" t="str">
        <x:v>Negative</x:v>
      </x:c>
      <x:c r="K32" s="114" t="str">
        <x:v>Critical</x:v>
      </x:c>
      <x:c r="L32" s="114" t="str">
        <x:v>Admin</x:v>
      </x:c>
      <x:c r="M32" s="114" t="str">
        <x:v>UAT</x:v>
      </x:c>
      <x:c r="N32" s="114" t="str"/>
      <x:c r="O32" s="114" t="str">
        <x:v>Not Run</x:v>
      </x:c>
      <x:c r="P32" s="114" t="str"/>
      <x:c r="Q32" s="114" t="str"/>
      <x:c r="R32" s="148" t="str"/>
      <x:c r="S32" s="114" t="str"/>
      <x:c r="T32" s="115" t="str"/>
    </x:row>
    <x:row r="33" ht="58" customHeight="1">
      <x:c r="A33" s="113" t="str">
        <x:v>Yes</x:v>
      </x:c>
      <x:c r="B33" s="114" t="str">
        <x:v>TC-PLAN-009</x:v>
      </x:c>
      <x:c r="C33" s="114" t="str">
        <x:v>REQ-PLAN-03</x:v>
      </x:c>
      <x:c r="D33" s="114" t="str">
        <x:v>PM Plan</x:v>
      </x:c>
      <x:c r="E33" s="114" t="str">
        <x:v>Engineer ไม่มีสิทธิ์จัดการแผน</x:v>
      </x:c>
      <x:c r="F33" s="114" t="str">
        <x:v>เข้าสู่ระบบเป็น engineer</x:v>
      </x:c>
      <x:c r="G33" s="114" t="str">
        <x:v>เปิดหน้า PM Plan</x:v>
      </x:c>
      <x:c r="H33" s="114" t="str">
        <x:v>engineer</x:v>
      </x:c>
      <x:c r="I33" s="114" t="str">
        <x:v>ดูได้ตามสิทธิ์แต่ไม่มี Create/Edit/Delete</x:v>
      </x:c>
      <x:c r="J33" s="114" t="str">
        <x:v>Security</x:v>
      </x:c>
      <x:c r="K33" s="114" t="str">
        <x:v>Critical</x:v>
      </x:c>
      <x:c r="L33" s="114" t="str">
        <x:v>Engineer</x:v>
      </x:c>
      <x:c r="M33" s="114" t="str">
        <x:v>UAT</x:v>
      </x:c>
      <x:c r="N33" s="114" t="str"/>
      <x:c r="O33" s="114" t="str">
        <x:v>Not Run</x:v>
      </x:c>
      <x:c r="P33" s="114" t="str"/>
      <x:c r="Q33" s="114" t="str"/>
      <x:c r="R33" s="148" t="str"/>
      <x:c r="S33" s="114" t="str"/>
      <x:c r="T33" s="115" t="str"/>
    </x:row>
    <x:row r="34" ht="58" customHeight="1">
      <x:c r="A34" s="113" t="str">
        <x:v>Yes</x:v>
      </x:c>
      <x:c r="B34" s="114" t="str">
        <x:v>TC-PLAN-010</x:v>
      </x:c>
      <x:c r="C34" s="114" t="str">
        <x:v>REQ-PLAN-03</x:v>
      </x:c>
      <x:c r="D34" s="114" t="str">
        <x:v>PM Plan</x:v>
      </x:c>
      <x:c r="E34" s="114" t="str">
        <x:v>Viewer อ่านแผนอย่างเดียว</x:v>
      </x:c>
      <x:c r="F34" s="114" t="str">
        <x:v>เข้าสู่ระบบเป็น user</x:v>
      </x:c>
      <x:c r="G34" s="114" t="str">
        <x:v>เปิดหน้า PM Plan</x:v>
      </x:c>
      <x:c r="H34" s="114" t="str">
        <x:v>user</x:v>
      </x:c>
      <x:c r="I34" s="114" t="str">
        <x:v>ไม่เห็นปุ่มเปลี่ยนแปลงข้อมูล</x:v>
      </x:c>
      <x:c r="J34" s="114" t="str">
        <x:v>Security</x:v>
      </x:c>
      <x:c r="K34" s="114" t="str">
        <x:v>High</x:v>
      </x:c>
      <x:c r="L34" s="114" t="str">
        <x:v>Viewer</x:v>
      </x:c>
      <x:c r="M34" s="114" t="str">
        <x:v>UAT</x:v>
      </x:c>
      <x:c r="N34" s="114" t="str"/>
      <x:c r="O34" s="114" t="str">
        <x:v>Not Run</x:v>
      </x:c>
      <x:c r="P34" s="114" t="str"/>
      <x:c r="Q34" s="114" t="str"/>
      <x:c r="R34" s="148" t="str"/>
      <x:c r="S34" s="114" t="str"/>
      <x:c r="T34" s="115" t="str"/>
    </x:row>
    <x:row r="35" ht="58" customHeight="1">
      <x:c r="A35" s="113" t="str">
        <x:v>Yes</x:v>
      </x:c>
      <x:c r="B35" s="114" t="str">
        <x:v>TC-WO-001</x:v>
      </x:c>
      <x:c r="C35" s="114" t="str">
        <x:v>REQ-WO-01</x:v>
      </x:c>
      <x:c r="D35" s="114" t="str">
        <x:v>Work Orders</x:v>
      </x:c>
      <x:c r="E35" s="114" t="str">
        <x:v>สร้าง Work Order แบบ Manual</x:v>
      </x:c>
      <x:c r="F35" s="114" t="str">
        <x:v>เข้าสู่ระบบเป็น admin/engineer</x:v>
      </x:c>
      <x:c r="G35" s="114" t="str">
        <x:v>กดสร้าง กรอกข้อมูลครบ แล้วบันทึก</x:v>
      </x:c>
      <x:c r="H35" s="114" t="str">
        <x:v>asset, title, priority, assignee</x:v>
      </x:c>
      <x:c r="I35" s="114" t="str">
        <x:v>สร้างเลขงานและสถานะ Open</x:v>
      </x:c>
      <x:c r="J35" s="114" t="str">
        <x:v>Functional</x:v>
      </x:c>
      <x:c r="K35" s="114" t="str">
        <x:v>Critical</x:v>
      </x:c>
      <x:c r="L35" s="114" t="str">
        <x:v>Admin/Engineer</x:v>
      </x:c>
      <x:c r="M35" s="114" t="str">
        <x:v>UAT</x:v>
      </x:c>
      <x:c r="N35" s="114" t="str"/>
      <x:c r="O35" s="114" t="str">
        <x:v>Not Run</x:v>
      </x:c>
      <x:c r="P35" s="114" t="str"/>
      <x:c r="Q35" s="114" t="str"/>
      <x:c r="R35" s="148" t="str"/>
      <x:c r="S35" s="114" t="str"/>
      <x:c r="T35" s="115" t="str"/>
    </x:row>
    <x:row r="36" ht="58" customHeight="1">
      <x:c r="A36" s="113" t="str">
        <x:v>Yes</x:v>
      </x:c>
      <x:c r="B36" s="114" t="str">
        <x:v>TC-WO-002</x:v>
      </x:c>
      <x:c r="C36" s="114" t="str">
        <x:v>REQ-WO-01</x:v>
      </x:c>
      <x:c r="D36" s="114" t="str">
        <x:v>Work Orders</x:v>
      </x:c>
      <x:c r="E36" s="114" t="str">
        <x:v>ตรวจช่องบังคับของ Work Order</x:v>
      </x:c>
      <x:c r="F36" s="114" t="str">
        <x:v>อยู่หน้าสร้างงาน</x:v>
      </x:c>
      <x:c r="G36" s="114" t="str">
        <x:v>เว้น asset หรือหัวข้องานแล้วบันทึก</x:v>
      </x:c>
      <x:c r="H36" s="114" t="str">
        <x:v>ค่าว่าง</x:v>
      </x:c>
      <x:c r="I36" s="114" t="str">
        <x:v>ไม่บันทึกและแสดง validation</x:v>
      </x:c>
      <x:c r="J36" s="114" t="str">
        <x:v>Negative</x:v>
      </x:c>
      <x:c r="K36" s="114" t="str">
        <x:v>High</x:v>
      </x:c>
      <x:c r="L36" s="114" t="str">
        <x:v>Admin/Engineer</x:v>
      </x:c>
      <x:c r="M36" s="114" t="str">
        <x:v>UAT</x:v>
      </x:c>
      <x:c r="N36" s="114" t="str"/>
      <x:c r="O36" s="114" t="str">
        <x:v>Not Run</x:v>
      </x:c>
      <x:c r="P36" s="114" t="str"/>
      <x:c r="Q36" s="114" t="str"/>
      <x:c r="R36" s="148" t="str"/>
      <x:c r="S36" s="114" t="str"/>
      <x:c r="T36" s="115" t="str"/>
    </x:row>
    <x:row r="37" ht="58" customHeight="1">
      <x:c r="A37" s="113" t="str">
        <x:v>Yes</x:v>
      </x:c>
      <x:c r="B37" s="114" t="str">
        <x:v>TC-WO-003</x:v>
      </x:c>
      <x:c r="C37" s="114" t="str">
        <x:v>REQ-WO-01</x:v>
      </x:c>
      <x:c r="D37" s="114" t="str">
        <x:v>Work Orders</x:v>
      </x:c>
      <x:c r="E37" s="114" t="str">
        <x:v>เปลี่ยนสถานะ Open เป็น In Progress</x:v>
      </x:c>
      <x:c r="F37" s="114" t="str">
        <x:v>มีงาน Open</x:v>
      </x:c>
      <x:c r="G37" s="114" t="str">
        <x:v>เปิดงานและเริ่มดำเนินการ</x:v>
      </x:c>
      <x:c r="H37" s="114" t="str">
        <x:v>WO-Open</x:v>
      </x:c>
      <x:c r="I37" s="114" t="str">
        <x:v>สถานะเป็น In Progress และบันทึกเวลา</x:v>
      </x:c>
      <x:c r="J37" s="114" t="str">
        <x:v>Functional</x:v>
      </x:c>
      <x:c r="K37" s="114" t="str">
        <x:v>High</x:v>
      </x:c>
      <x:c r="L37" s="114" t="str">
        <x:v>Admin/Engineer</x:v>
      </x:c>
      <x:c r="M37" s="114" t="str">
        <x:v>UAT</x:v>
      </x:c>
      <x:c r="N37" s="114" t="str"/>
      <x:c r="O37" s="114" t="str">
        <x:v>Not Run</x:v>
      </x:c>
      <x:c r="P37" s="114" t="str"/>
      <x:c r="Q37" s="114" t="str"/>
      <x:c r="R37" s="148" t="str"/>
      <x:c r="S37" s="114" t="str"/>
      <x:c r="T37" s="115" t="str"/>
    </x:row>
    <x:row r="38" ht="58" customHeight="1">
      <x:c r="A38" s="113" t="str">
        <x:v>Yes</x:v>
      </x:c>
      <x:c r="B38" s="114" t="str">
        <x:v>TC-WO-004</x:v>
      </x:c>
      <x:c r="C38" s="114" t="str">
        <x:v>REQ-WO-02</x:v>
      </x:c>
      <x:c r="D38" s="114" t="str">
        <x:v>Work Orders</x:v>
      </x:c>
      <x:c r="E38" s="114" t="str">
        <x:v>ปิด Work Order จาก Approved Service Report</x:v>
      </x:c>
      <x:c r="F38" s="114" t="str">
        <x:v>มีงานเชื่อมกับ report ที่ Submitted</x:v>
      </x:c>
      <x:c r="G38" s="114" t="str">
        <x:v>Admin อนุมัติรายงาน</x:v>
      </x:c>
      <x:c r="H38" s="114" t="str">
        <x:v>WO + report</x:v>
      </x:c>
      <x:c r="I38" s="114" t="str">
        <x:v>Work Order เปลี่ยนเป็น Closed อัตโนมัติ</x:v>
      </x:c>
      <x:c r="J38" s="114" t="str">
        <x:v>Integration</x:v>
      </x:c>
      <x:c r="K38" s="114" t="str">
        <x:v>Critical</x:v>
      </x:c>
      <x:c r="L38" s="114" t="str">
        <x:v>Admin</x:v>
      </x:c>
      <x:c r="M38" s="114" t="str">
        <x:v>UAT</x:v>
      </x:c>
      <x:c r="N38" s="114" t="str"/>
      <x:c r="O38" s="114" t="str">
        <x:v>Not Run</x:v>
      </x:c>
      <x:c r="P38" s="114" t="str"/>
      <x:c r="Q38" s="114" t="str"/>
      <x:c r="R38" s="148" t="str"/>
      <x:c r="S38" s="114" t="str"/>
      <x:c r="T38" s="115" t="str"/>
    </x:row>
    <x:row r="39" ht="58" customHeight="1">
      <x:c r="A39" s="113" t="str">
        <x:v>Yes</x:v>
      </x:c>
      <x:c r="B39" s="114" t="str">
        <x:v>TC-WO-005</x:v>
      </x:c>
      <x:c r="C39" s="114" t="str">
        <x:v>REQ-WO-02</x:v>
      </x:c>
      <x:c r="D39" s="114" t="str">
        <x:v>Work Orders</x:v>
      </x:c>
      <x:c r="E39" s="114" t="str">
        <x:v>กรองตามสถานะและความสำคัญ</x:v>
      </x:c>
      <x:c r="F39" s="114" t="str">
        <x:v>มีงานหลายสถานะ/priority</x:v>
      </x:c>
      <x:c r="G39" s="114" t="str">
        <x:v>เลือก filter ทีละค่าและหลายค่า</x:v>
      </x:c>
      <x:c r="H39" s="114" t="str">
        <x:v>Open, High</x:v>
      </x:c>
      <x:c r="I39" s="114" t="str">
        <x:v>รายการตรงเงื่อนไขและล้าง filter ได้</x:v>
      </x:c>
      <x:c r="J39" s="114" t="str">
        <x:v>Functional</x:v>
      </x:c>
      <x:c r="K39" s="114" t="str">
        <x:v>Medium</x:v>
      </x:c>
      <x:c r="L39" s="114" t="str">
        <x:v>Admin/Engineer</x:v>
      </x:c>
      <x:c r="M39" s="114" t="str">
        <x:v>UAT</x:v>
      </x:c>
      <x:c r="N39" s="114" t="str"/>
      <x:c r="O39" s="114" t="str">
        <x:v>Not Run</x:v>
      </x:c>
      <x:c r="P39" s="114" t="str"/>
      <x:c r="Q39" s="114" t="str"/>
      <x:c r="R39" s="148" t="str"/>
      <x:c r="S39" s="114" t="str"/>
      <x:c r="T39" s="115" t="str"/>
    </x:row>
    <x:row r="40" ht="58" customHeight="1">
      <x:c r="A40" s="113" t="str">
        <x:v>Yes</x:v>
      </x:c>
      <x:c r="B40" s="114" t="str">
        <x:v>TC-WO-006</x:v>
      </x:c>
      <x:c r="C40" s="114" t="str">
        <x:v>REQ-WO-02</x:v>
      </x:c>
      <x:c r="D40" s="114" t="str">
        <x:v>Work Orders</x:v>
      </x:c>
      <x:c r="E40" s="114" t="str">
        <x:v>ค้นหา Work Order</x:v>
      </x:c>
      <x:c r="F40" s="114" t="str">
        <x:v>มีรายการหลายงาน</x:v>
      </x:c>
      <x:c r="G40" s="114" t="str">
        <x:v>ค้นหาด้วยเลขงาน/ชื่อ asset/หัวข้อ</x:v>
      </x:c>
      <x:c r="H40" s="114" t="str">
        <x:v>คำค้นบางส่วน</x:v>
      </x:c>
      <x:c r="I40" s="114" t="str">
        <x:v>พบรายการที่ตรงโดยไม่สนตัวพิมพ์</x:v>
      </x:c>
      <x:c r="J40" s="114" t="str">
        <x:v>Functional</x:v>
      </x:c>
      <x:c r="K40" s="114" t="str">
        <x:v>Medium</x:v>
      </x:c>
      <x:c r="L40" s="114" t="str">
        <x:v>Admin/Engineer</x:v>
      </x:c>
      <x:c r="M40" s="114" t="str">
        <x:v>UAT</x:v>
      </x:c>
      <x:c r="N40" s="114" t="str"/>
      <x:c r="O40" s="114" t="str">
        <x:v>Not Run</x:v>
      </x:c>
      <x:c r="P40" s="114" t="str"/>
      <x:c r="Q40" s="114" t="str"/>
      <x:c r="R40" s="148" t="str"/>
      <x:c r="S40" s="114" t="str"/>
      <x:c r="T40" s="115" t="str"/>
    </x:row>
    <x:row r="41" ht="58" customHeight="1">
      <x:c r="A41" s="113" t="str">
        <x:v>Yes</x:v>
      </x:c>
      <x:c r="B41" s="114" t="str">
        <x:v>TC-WO-007</x:v>
      </x:c>
      <x:c r="C41" s="114" t="str">
        <x:v>REQ-WO-02</x:v>
      </x:c>
      <x:c r="D41" s="114" t="str">
        <x:v>Work Orders</x:v>
      </x:c>
      <x:c r="E41" s="114" t="str">
        <x:v>แยก Work Order ตามไซต์</x:v>
      </x:c>
      <x:c r="F41" s="114" t="str">
        <x:v>มีงาน 2 ไซต์</x:v>
      </x:c>
      <x:c r="G41" s="114" t="str">
        <x:v>สลับไซต์แล้วเปิดรายการงาน</x:v>
      </x:c>
      <x:c r="H41" s="114" t="str">
        <x:v>site-001, site-002</x:v>
      </x:c>
      <x:c r="I41" s="114" t="str">
        <x:v>เห็นเฉพาะงานของไซต์ปัจจุบัน</x:v>
      </x:c>
      <x:c r="J41" s="114" t="str">
        <x:v>Security</x:v>
      </x:c>
      <x:c r="K41" s="114" t="str">
        <x:v>Critical</x:v>
      </x:c>
      <x:c r="L41" s="114" t="str">
        <x:v>All</x:v>
      </x:c>
      <x:c r="M41" s="114" t="str">
        <x:v>UAT</x:v>
      </x:c>
      <x:c r="N41" s="114" t="str"/>
      <x:c r="O41" s="114" t="str">
        <x:v>Not Run</x:v>
      </x:c>
      <x:c r="P41" s="114" t="str"/>
      <x:c r="Q41" s="114" t="str"/>
      <x:c r="R41" s="148" t="str"/>
      <x:c r="S41" s="114" t="str"/>
      <x:c r="T41" s="115" t="str"/>
    </x:row>
    <x:row r="42" ht="58" customHeight="1">
      <x:c r="A42" s="113" t="str">
        <x:v>Yes</x:v>
      </x:c>
      <x:c r="B42" s="114" t="str">
        <x:v>TC-WO-008</x:v>
      </x:c>
      <x:c r="C42" s="114" t="str">
        <x:v>REQ-WO-02</x:v>
      </x:c>
      <x:c r="D42" s="114" t="str">
        <x:v>Work Orders</x:v>
      </x:c>
      <x:c r="E42" s="114" t="str">
        <x:v>Viewer ไม่มีเมนูจัดการ Work Order</x:v>
      </x:c>
      <x:c r="F42" s="114" t="str">
        <x:v>เข้าสู่ระบบเป็น user</x:v>
      </x:c>
      <x:c r="G42" s="114" t="str">
        <x:v>ตรวจ Sidebar และเข้าผ่าน URL</x:v>
      </x:c>
      <x:c r="H42" s="114" t="str">
        <x:v>user</x:v>
      </x:c>
      <x:c r="I42" s="114" t="str">
        <x:v>ไม่มีเมนูและเข้าหน้าจัดการไม่ได้</x:v>
      </x:c>
      <x:c r="J42" s="114" t="str">
        <x:v>Security</x:v>
      </x:c>
      <x:c r="K42" s="114" t="str">
        <x:v>Critical</x:v>
      </x:c>
      <x:c r="L42" s="114" t="str">
        <x:v>Viewer</x:v>
      </x:c>
      <x:c r="M42" s="114" t="str">
        <x:v>UAT</x:v>
      </x:c>
      <x:c r="N42" s="114" t="str"/>
      <x:c r="O42" s="114" t="str">
        <x:v>Not Run</x:v>
      </x:c>
      <x:c r="P42" s="114" t="str"/>
      <x:c r="Q42" s="114" t="str"/>
      <x:c r="R42" s="148" t="str"/>
      <x:c r="S42" s="114" t="str"/>
      <x:c r="T42" s="115" t="str"/>
    </x:row>
    <x:row r="43" ht="58" customHeight="1">
      <x:c r="A43" s="113" t="str">
        <x:v>Yes</x:v>
      </x:c>
      <x:c r="B43" s="114" t="str">
        <x:v>TC-SR-001</x:v>
      </x:c>
      <x:c r="C43" s="114" t="str">
        <x:v>REQ-SR-01</x:v>
      </x:c>
      <x:c r="D43" s="114" t="str">
        <x:v>Service Reports</x:v>
      </x:c>
      <x:c r="E43" s="114" t="str">
        <x:v>สร้างรายงาน Draft จากรอบ PM</x:v>
      </x:c>
      <x:c r="F43" s="114" t="str">
        <x:v>เข้าสู่ระบบเป็น engineer และมีรอบ PM</x:v>
      </x:c>
      <x:c r="G43" s="114" t="str">
        <x:v>เลือกแผน/รอบ กรอกข้อมูล แล้วบันทึก Draft</x:v>
      </x:c>
      <x:c r="H43" s="114" t="str">
        <x:v>plan cycle</x:v>
      </x:c>
      <x:c r="I43" s="114" t="str">
        <x:v>สร้างรายงาน Draft เชื่อมกับไซต์ แผน และรอบถูกต้อง</x:v>
      </x:c>
      <x:c r="J43" s="114" t="str">
        <x:v>Functional</x:v>
      </x:c>
      <x:c r="K43" s="114" t="str">
        <x:v>Critical</x:v>
      </x:c>
      <x:c r="L43" s="114" t="str">
        <x:v>Engineer</x:v>
      </x:c>
      <x:c r="M43" s="114" t="str">
        <x:v>UAT</x:v>
      </x:c>
      <x:c r="N43" s="114" t="str"/>
      <x:c r="O43" s="114" t="str">
        <x:v>Not Run</x:v>
      </x:c>
      <x:c r="P43" s="114" t="str"/>
      <x:c r="Q43" s="114" t="str"/>
      <x:c r="R43" s="148" t="str"/>
      <x:c r="S43" s="114" t="str"/>
      <x:c r="T43" s="115" t="str"/>
    </x:row>
    <x:row r="44" ht="58" customHeight="1">
      <x:c r="A44" s="113" t="str">
        <x:v>Yes</x:v>
      </x:c>
      <x:c r="B44" s="114" t="str">
        <x:v>TC-SR-002</x:v>
      </x:c>
      <x:c r="C44" s="114" t="str">
        <x:v>REQ-SR-01</x:v>
      </x:c>
      <x:c r="D44" s="114" t="str">
        <x:v>Service Reports</x:v>
      </x:c>
      <x:c r="E44" s="114" t="str">
        <x:v>สร้างรายงานจาก Work Order</x:v>
      </x:c>
      <x:c r="F44" s="114" t="str">
        <x:v>มี Work Order ที่เปิดอยู่</x:v>
      </x:c>
      <x:c r="G44" s="114" t="str">
        <x:v>เลือกสร้าง Service Report จากงาน</x:v>
      </x:c>
      <x:c r="H44" s="114" t="str">
        <x:v>WO-Open</x:v>
      </x:c>
      <x:c r="I44" s="114" t="str">
        <x:v>รายงานเชื่อม work_order_id และดึงข้อมูลตั้งต้น</x:v>
      </x:c>
      <x:c r="J44" s="114" t="str">
        <x:v>Integration</x:v>
      </x:c>
      <x:c r="K44" s="114" t="str">
        <x:v>Critical</x:v>
      </x:c>
      <x:c r="L44" s="114" t="str">
        <x:v>Admin/Engineer</x:v>
      </x:c>
      <x:c r="M44" s="114" t="str">
        <x:v>UAT</x:v>
      </x:c>
      <x:c r="N44" s="114" t="str"/>
      <x:c r="O44" s="114" t="str">
        <x:v>Not Run</x:v>
      </x:c>
      <x:c r="P44" s="114" t="str"/>
      <x:c r="Q44" s="114" t="str"/>
      <x:c r="R44" s="148" t="str"/>
      <x:c r="S44" s="114" t="str"/>
      <x:c r="T44" s="115" t="str"/>
    </x:row>
    <x:row r="45" ht="58" customHeight="1">
      <x:c r="A45" s="113" t="str">
        <x:v>Yes</x:v>
      </x:c>
      <x:c r="B45" s="114" t="str">
        <x:v>TC-SR-003</x:v>
      </x:c>
      <x:c r="C45" s="114" t="str">
        <x:v>REQ-SR-01</x:v>
      </x:c>
      <x:c r="D45" s="114" t="str">
        <x:v>Service Reports</x:v>
      </x:c>
      <x:c r="E45" s="114" t="str">
        <x:v>บันทึกรายละเอียดงานและค่าตรวจวัด</x:v>
      </x:c>
      <x:c r="F45" s="114" t="str">
        <x:v>อยู่หน้าแบบฟอร์มรายงาน</x:v>
      </x:c>
      <x:c r="G45" s="114" t="str">
        <x:v>กรอกรายละเอียด ผลตรวจ และหมายเหตุ</x:v>
      </x:c>
      <x:c r="H45" s="114" t="str">
        <x:v>ข้อความไทย/ตัวเลข</x:v>
      </x:c>
      <x:c r="I45" s="114" t="str">
        <x:v>ข้อมูลคงอยู่หลังบันทึกและเปิดใหม่</x:v>
      </x:c>
      <x:c r="J45" s="114" t="str">
        <x:v>Functional</x:v>
      </x:c>
      <x:c r="K45" s="114" t="str">
        <x:v>High</x:v>
      </x:c>
      <x:c r="L45" s="114" t="str">
        <x:v>Admin/Engineer</x:v>
      </x:c>
      <x:c r="M45" s="114" t="str">
        <x:v>UAT</x:v>
      </x:c>
      <x:c r="N45" s="114" t="str"/>
      <x:c r="O45" s="114" t="str">
        <x:v>Not Run</x:v>
      </x:c>
      <x:c r="P45" s="114" t="str"/>
      <x:c r="Q45" s="114" t="str"/>
      <x:c r="R45" s="148" t="str"/>
      <x:c r="S45" s="114" t="str"/>
      <x:c r="T45" s="115" t="str"/>
    </x:row>
    <x:row r="46" ht="58" customHeight="1">
      <x:c r="A46" s="113" t="str">
        <x:v>Yes</x:v>
      </x:c>
      <x:c r="B46" s="114" t="str">
        <x:v>TC-SR-004</x:v>
      </x:c>
      <x:c r="C46" s="114" t="str">
        <x:v>REQ-SR-02</x:v>
      </x:c>
      <x:c r="D46" s="114" t="str">
        <x:v>Service Reports</x:v>
      </x:c>
      <x:c r="E46" s="114" t="str">
        <x:v>แนบรูป JPG ที่ถูกต้อง</x:v>
      </x:c>
      <x:c r="F46" s="114" t="str">
        <x:v>อยู่หน้าแก้ไข Draft</x:v>
      </x:c>
      <x:c r="G46" s="114" t="str">
        <x:v>เลือกรูป JPG ขนาดต่ำกว่า 2 MB</x:v>
      </x:c>
      <x:c r="H46" s="114" t="str">
        <x:v>valid-photo.jpg 1 MB</x:v>
      </x:c>
      <x:c r="I46" s="114" t="str">
        <x:v>แสดง preview และบันทึกไฟล์ได้</x:v>
      </x:c>
      <x:c r="J46" s="114" t="str">
        <x:v>Functional</x:v>
      </x:c>
      <x:c r="K46" s="114" t="str">
        <x:v>High</x:v>
      </x:c>
      <x:c r="L46" s="114" t="str">
        <x:v>Admin/Engineer</x:v>
      </x:c>
      <x:c r="M46" s="114" t="str">
        <x:v>UAT</x:v>
      </x:c>
      <x:c r="N46" s="114" t="str"/>
      <x:c r="O46" s="114" t="str">
        <x:v>Not Run</x:v>
      </x:c>
      <x:c r="P46" s="114" t="str"/>
      <x:c r="Q46" s="114" t="str"/>
      <x:c r="R46" s="148" t="str"/>
      <x:c r="S46" s="114" t="str"/>
      <x:c r="T46" s="115" t="str"/>
    </x:row>
    <x:row r="47" ht="58" customHeight="1">
      <x:c r="A47" s="113" t="str">
        <x:v>Yes</x:v>
      </x:c>
      <x:c r="B47" s="114" t="str">
        <x:v>TC-SR-005</x:v>
      </x:c>
      <x:c r="C47" s="114" t="str">
        <x:v>REQ-SR-02</x:v>
      </x:c>
      <x:c r="D47" s="114" t="str">
        <x:v>Service Reports</x:v>
      </x:c>
      <x:c r="E47" s="114" t="str">
        <x:v>แนบรูป PNG ที่ถูกต้อง</x:v>
      </x:c>
      <x:c r="F47" s="114" t="str">
        <x:v>อยู่หน้าแก้ไข Draft</x:v>
      </x:c>
      <x:c r="G47" s="114" t="str">
        <x:v>เลือกรูป PNG ขนาดต่ำกว่า 2 MB</x:v>
      </x:c>
      <x:c r="H47" s="114" t="str">
        <x:v>valid-photo.png 1 MB</x:v>
      </x:c>
      <x:c r="I47" s="114" t="str">
        <x:v>แสดง preview และบันทึกไฟล์ได้</x:v>
      </x:c>
      <x:c r="J47" s="114" t="str">
        <x:v>Functional</x:v>
      </x:c>
      <x:c r="K47" s="114" t="str">
        <x:v>Medium</x:v>
      </x:c>
      <x:c r="L47" s="114" t="str">
        <x:v>Admin/Engineer</x:v>
      </x:c>
      <x:c r="M47" s="114" t="str">
        <x:v>UAT</x:v>
      </x:c>
      <x:c r="N47" s="114" t="str"/>
      <x:c r="O47" s="114" t="str">
        <x:v>Not Run</x:v>
      </x:c>
      <x:c r="P47" s="114" t="str"/>
      <x:c r="Q47" s="114" t="str"/>
      <x:c r="R47" s="148" t="str"/>
      <x:c r="S47" s="114" t="str"/>
      <x:c r="T47" s="115" t="str"/>
    </x:row>
    <x:row r="48" ht="58" customHeight="1">
      <x:c r="A48" s="113" t="str">
        <x:v>Yes</x:v>
      </x:c>
      <x:c r="B48" s="114" t="str">
        <x:v>TC-SR-006</x:v>
      </x:c>
      <x:c r="C48" s="114" t="str">
        <x:v>REQ-SR-02</x:v>
      </x:c>
      <x:c r="D48" s="114" t="str">
        <x:v>Service Reports</x:v>
      </x:c>
      <x:c r="E48" s="114" t="str">
        <x:v>จำกัดจำนวนรูปสูงสุด 4 รูป</x:v>
      </x:c>
      <x:c r="F48" s="114" t="str">
        <x:v>มีรูปแนบแล้ว 4 รูป</x:v>
      </x:c>
      <x:c r="G48" s="114" t="str">
        <x:v>พยายามแนบรูปที่ 5</x:v>
      </x:c>
      <x:c r="H48" s="114" t="str">
        <x:v>5 images</x:v>
      </x:c>
      <x:c r="I48" s="114" t="str">
        <x:v>ระบบไม่รับรูปที่ 5 และแจ้งข้อจำกัด</x:v>
      </x:c>
      <x:c r="J48" s="114" t="str">
        <x:v>Negative</x:v>
      </x:c>
      <x:c r="K48" s="114" t="str">
        <x:v>High</x:v>
      </x:c>
      <x:c r="L48" s="114" t="str">
        <x:v>Admin/Engineer</x:v>
      </x:c>
      <x:c r="M48" s="114" t="str">
        <x:v>UAT</x:v>
      </x:c>
      <x:c r="N48" s="114" t="str"/>
      <x:c r="O48" s="114" t="str">
        <x:v>Not Run</x:v>
      </x:c>
      <x:c r="P48" s="114" t="str"/>
      <x:c r="Q48" s="114" t="str"/>
      <x:c r="R48" s="148" t="str"/>
      <x:c r="S48" s="114" t="str"/>
      <x:c r="T48" s="115" t="str"/>
    </x:row>
    <x:row r="49" ht="58" customHeight="1">
      <x:c r="A49" s="113" t="str">
        <x:v>Yes</x:v>
      </x:c>
      <x:c r="B49" s="114" t="str">
        <x:v>TC-SR-007</x:v>
      </x:c>
      <x:c r="C49" s="114" t="str">
        <x:v>REQ-SR-02</x:v>
      </x:c>
      <x:c r="D49" s="114" t="str">
        <x:v>Service Reports</x:v>
      </x:c>
      <x:c r="E49" s="114" t="str">
        <x:v>ปฏิเสธไฟล์ใหญ่กว่า 2 MB</x:v>
      </x:c>
      <x:c r="F49" s="114" t="str">
        <x:v>อยู่หน้าแนบรูป</x:v>
      </x:c>
      <x:c r="G49" s="114" t="str">
        <x:v>เลือกไฟล์เกินขนาด</x:v>
      </x:c>
      <x:c r="H49" s="114" t="str">
        <x:v>large.jpg 2.1 MB</x:v>
      </x:c>
      <x:c r="I49" s="114" t="str">
        <x:v>ระบบไม่บันทึกและแจ้งขนาดสูงสุด</x:v>
      </x:c>
      <x:c r="J49" s="114" t="str">
        <x:v>Negative</x:v>
      </x:c>
      <x:c r="K49" s="114" t="str">
        <x:v>High</x:v>
      </x:c>
      <x:c r="L49" s="114" t="str">
        <x:v>Admin/Engineer</x:v>
      </x:c>
      <x:c r="M49" s="114" t="str">
        <x:v>UAT</x:v>
      </x:c>
      <x:c r="N49" s="114" t="str"/>
      <x:c r="O49" s="114" t="str">
        <x:v>Not Run</x:v>
      </x:c>
      <x:c r="P49" s="114" t="str"/>
      <x:c r="Q49" s="114" t="str"/>
      <x:c r="R49" s="148" t="str"/>
      <x:c r="S49" s="114" t="str"/>
      <x:c r="T49" s="115" t="str"/>
    </x:row>
    <x:row r="50" ht="58" customHeight="1">
      <x:c r="A50" s="113" t="str">
        <x:v>Yes</x:v>
      </x:c>
      <x:c r="B50" s="114" t="str">
        <x:v>TC-SR-008</x:v>
      </x:c>
      <x:c r="C50" s="114" t="str">
        <x:v>REQ-SR-02</x:v>
      </x:c>
      <x:c r="D50" s="114" t="str">
        <x:v>Service Reports</x:v>
      </x:c>
      <x:c r="E50" s="114" t="str">
        <x:v>ปฏิเสธชนิดไฟล์ที่ไม่รองรับ</x:v>
      </x:c>
      <x:c r="F50" s="114" t="str">
        <x:v>อยู่หน้าแนบรูป</x:v>
      </x:c>
      <x:c r="G50" s="114" t="str">
        <x:v>เลือกไฟล์ executable หรือ PDF</x:v>
      </x:c>
      <x:c r="H50" s="114" t="str">
        <x:v>sample.exe / sample.pdf</x:v>
      </x:c>
      <x:c r="I50" s="114" t="str">
        <x:v>ระบบไม่รับไฟล์และไม่อัปโหลด</x:v>
      </x:c>
      <x:c r="J50" s="114" t="str">
        <x:v>Security</x:v>
      </x:c>
      <x:c r="K50" s="114" t="str">
        <x:v>Critical</x:v>
      </x:c>
      <x:c r="L50" s="114" t="str">
        <x:v>Admin/Engineer</x:v>
      </x:c>
      <x:c r="M50" s="114" t="str">
        <x:v>UAT</x:v>
      </x:c>
      <x:c r="N50" s="114" t="str"/>
      <x:c r="O50" s="114" t="str">
        <x:v>Not Run</x:v>
      </x:c>
      <x:c r="P50" s="114" t="str"/>
      <x:c r="Q50" s="114" t="str"/>
      <x:c r="R50" s="148" t="str"/>
      <x:c r="S50" s="114" t="str"/>
      <x:c r="T50" s="115" t="str"/>
    </x:row>
    <x:row r="51" ht="58" customHeight="1">
      <x:c r="A51" s="113" t="str">
        <x:v>Yes</x:v>
      </x:c>
      <x:c r="B51" s="114" t="str">
        <x:v>TC-SR-009</x:v>
      </x:c>
      <x:c r="C51" s="114" t="str">
        <x:v>REQ-SR-03</x:v>
      </x:c>
      <x:c r="D51" s="114" t="str">
        <x:v>Service Reports</x:v>
      </x:c>
      <x:c r="E51" s="114" t="str">
        <x:v>Submit ต้องมีรูปหลักฐาน</x:v>
      </x:c>
      <x:c r="F51" s="114" t="str">
        <x:v>มี Draft ที่ไม่มีรูป</x:v>
      </x:c>
      <x:c r="G51" s="114" t="str">
        <x:v>กด Submit</x:v>
      </x:c>
      <x:c r="H51" s="114" t="str">
        <x:v>Draft no photo</x:v>
      </x:c>
      <x:c r="I51" s="114" t="str">
        <x:v>ไม่เปลี่ยนสถานะและแจ้งให้แนบรูป</x:v>
      </x:c>
      <x:c r="J51" s="114" t="str">
        <x:v>Negative</x:v>
      </x:c>
      <x:c r="K51" s="114" t="str">
        <x:v>Critical</x:v>
      </x:c>
      <x:c r="L51" s="114" t="str">
        <x:v>Engineer</x:v>
      </x:c>
      <x:c r="M51" s="114" t="str">
        <x:v>UAT</x:v>
      </x:c>
      <x:c r="N51" s="114" t="str"/>
      <x:c r="O51" s="114" t="str">
        <x:v>Not Run</x:v>
      </x:c>
      <x:c r="P51" s="114" t="str"/>
      <x:c r="Q51" s="114" t="str"/>
      <x:c r="R51" s="148" t="str"/>
      <x:c r="S51" s="114" t="str"/>
      <x:c r="T51" s="115" t="str"/>
    </x:row>
    <x:row r="52" ht="58" customHeight="1">
      <x:c r="A52" s="113" t="str">
        <x:v>Yes</x:v>
      </x:c>
      <x:c r="B52" s="114" t="str">
        <x:v>TC-SR-010</x:v>
      </x:c>
      <x:c r="C52" s="114" t="str">
        <x:v>REQ-SR-03</x:v>
      </x:c>
      <x:c r="D52" s="114" t="str">
        <x:v>Service Reports</x:v>
      </x:c>
      <x:c r="E52" s="114" t="str">
        <x:v>Submit รายงานครบถ้วน</x:v>
      </x:c>
      <x:c r="F52" s="114" t="str">
        <x:v>Draft มีข้อมูลและรูปครบ</x:v>
      </x:c>
      <x:c r="G52" s="114" t="str">
        <x:v>กด Submit และยืนยัน</x:v>
      </x:c>
      <x:c r="H52" s="114" t="str">
        <x:v>complete draft</x:v>
      </x:c>
      <x:c r="I52" s="114" t="str">
        <x:v>สถานะเป็น Submitted และล็อกการแก้ไข</x:v>
      </x:c>
      <x:c r="J52" s="114" t="str">
        <x:v>Functional</x:v>
      </x:c>
      <x:c r="K52" s="114" t="str">
        <x:v>Critical</x:v>
      </x:c>
      <x:c r="L52" s="114" t="str">
        <x:v>Engineer</x:v>
      </x:c>
      <x:c r="M52" s="114" t="str">
        <x:v>UAT</x:v>
      </x:c>
      <x:c r="N52" s="114" t="str"/>
      <x:c r="O52" s="114" t="str">
        <x:v>Not Run</x:v>
      </x:c>
      <x:c r="P52" s="114" t="str"/>
      <x:c r="Q52" s="114" t="str"/>
      <x:c r="R52" s="148" t="str"/>
      <x:c r="S52" s="114" t="str"/>
      <x:c r="T52" s="115" t="str"/>
    </x:row>
    <x:row r="53" ht="58" customHeight="1">
      <x:c r="A53" s="113" t="str">
        <x:v>Yes</x:v>
      </x:c>
      <x:c r="B53" s="114" t="str">
        <x:v>TC-SR-011</x:v>
      </x:c>
      <x:c r="C53" s="114" t="str">
        <x:v>REQ-SR-03</x:v>
      </x:c>
      <x:c r="D53" s="114" t="str">
        <x:v>Service Reports</x:v>
      </x:c>
      <x:c r="E53" s="114" t="str">
        <x:v>Admin อนุมัติรายงาน</x:v>
      </x:c>
      <x:c r="F53" s="114" t="str">
        <x:v>มีรายงาน Submitted</x:v>
      </x:c>
      <x:c r="G53" s="114" t="str">
        <x:v>เปิดรายงานและกด Approve</x:v>
      </x:c>
      <x:c r="H53" s="114" t="str">
        <x:v>submitted report</x:v>
      </x:c>
      <x:c r="I53" s="114" t="str">
        <x:v>สถานะ Approved บันทึกผู้อนุมัติ/เวลา และอัปเดต Actual</x:v>
      </x:c>
      <x:c r="J53" s="114" t="str">
        <x:v>Integration</x:v>
      </x:c>
      <x:c r="K53" s="114" t="str">
        <x:v>Critical</x:v>
      </x:c>
      <x:c r="L53" s="114" t="str">
        <x:v>Admin</x:v>
      </x:c>
      <x:c r="M53" s="114" t="str">
        <x:v>UAT</x:v>
      </x:c>
      <x:c r="N53" s="114" t="str"/>
      <x:c r="O53" s="114" t="str">
        <x:v>Not Run</x:v>
      </x:c>
      <x:c r="P53" s="114" t="str"/>
      <x:c r="Q53" s="114" t="str"/>
      <x:c r="R53" s="148" t="str"/>
      <x:c r="S53" s="114" t="str"/>
      <x:c r="T53" s="115" t="str"/>
    </x:row>
    <x:row r="54" ht="58" customHeight="1">
      <x:c r="A54" s="113" t="str">
        <x:v>Yes</x:v>
      </x:c>
      <x:c r="B54" s="114" t="str">
        <x:v>TC-SR-012</x:v>
      </x:c>
      <x:c r="C54" s="114" t="str">
        <x:v>REQ-SR-03</x:v>
      </x:c>
      <x:c r="D54" s="114" t="str">
        <x:v>Service Reports</x:v>
      </x:c>
      <x:c r="E54" s="114" t="str">
        <x:v>Admin ปฏิเสธพร้อมเหตุผล</x:v>
      </x:c>
      <x:c r="F54" s="114" t="str">
        <x:v>มีรายงาน Submitted</x:v>
      </x:c>
      <x:c r="G54" s="114" t="str">
        <x:v>กด Reject และกรอกเหตุผล</x:v>
      </x:c>
      <x:c r="H54" s="114" t="str">
        <x:v>เหตุผลแก้ไข</x:v>
      </x:c>
      <x:c r="I54" s="114" t="str">
        <x:v>สถานะ Rejected และ Engineer เห็นเหตุผล</x:v>
      </x:c>
      <x:c r="J54" s="114" t="str">
        <x:v>Functional</x:v>
      </x:c>
      <x:c r="K54" s="114" t="str">
        <x:v>Critical</x:v>
      </x:c>
      <x:c r="L54" s="114" t="str">
        <x:v>Admin</x:v>
      </x:c>
      <x:c r="M54" s="114" t="str">
        <x:v>UAT</x:v>
      </x:c>
      <x:c r="N54" s="114" t="str"/>
      <x:c r="O54" s="114" t="str">
        <x:v>Not Run</x:v>
      </x:c>
      <x:c r="P54" s="114" t="str"/>
      <x:c r="Q54" s="114" t="str"/>
      <x:c r="R54" s="148" t="str"/>
      <x:c r="S54" s="114" t="str"/>
      <x:c r="T54" s="115" t="str"/>
    </x:row>
    <x:row r="55" ht="58" customHeight="1">
      <x:c r="A55" s="113" t="str">
        <x:v>Yes</x:v>
      </x:c>
      <x:c r="B55" s="114" t="str">
        <x:v>TC-SR-013</x:v>
      </x:c>
      <x:c r="C55" s="114" t="str">
        <x:v>REQ-SR-03</x:v>
      </x:c>
      <x:c r="D55" s="114" t="str">
        <x:v>Service Reports</x:v>
      </x:c>
      <x:c r="E55" s="114" t="str">
        <x:v>Engineer แก้ไขรายงาน Rejected</x:v>
      </x:c>
      <x:c r="F55" s="114" t="str">
        <x:v>มีรายงาน Rejected</x:v>
      </x:c>
      <x:c r="G55" s="114" t="str">
        <x:v>แก้ข้อมูล/รูป แล้วบันทึกและ Submit ใหม่</x:v>
      </x:c>
      <x:c r="H55" s="114" t="str">
        <x:v>rejected report</x:v>
      </x:c>
      <x:c r="I55" s="114" t="str">
        <x:v>ข้อมูลใหม่ถูกบันทึกและกลับ Submitted</x:v>
      </x:c>
      <x:c r="J55" s="114" t="str">
        <x:v>Regression</x:v>
      </x:c>
      <x:c r="K55" s="114" t="str">
        <x:v>High</x:v>
      </x:c>
      <x:c r="L55" s="114" t="str">
        <x:v>Engineer</x:v>
      </x:c>
      <x:c r="M55" s="114" t="str">
        <x:v>UAT</x:v>
      </x:c>
      <x:c r="N55" s="114" t="str"/>
      <x:c r="O55" s="114" t="str">
        <x:v>Not Run</x:v>
      </x:c>
      <x:c r="P55" s="114" t="str"/>
      <x:c r="Q55" s="114" t="str"/>
      <x:c r="R55" s="148" t="str"/>
      <x:c r="S55" s="114" t="str"/>
      <x:c r="T55" s="115" t="str"/>
    </x:row>
    <x:row r="56" ht="58" customHeight="1">
      <x:c r="A56" s="113" t="str">
        <x:v>Yes</x:v>
      </x:c>
      <x:c r="B56" s="114" t="str">
        <x:v>TC-SR-014</x:v>
      </x:c>
      <x:c r="C56" s="114" t="str">
        <x:v>REQ-SR-03</x:v>
      </x:c>
      <x:c r="D56" s="114" t="str">
        <x:v>Service Reports</x:v>
      </x:c>
      <x:c r="E56" s="114" t="str">
        <x:v>ป้องกันแก้ไขรายงาน Submitted/Approved</x:v>
      </x:c>
      <x:c r="F56" s="114" t="str">
        <x:v>มีรายงาน Submitted และ Approved</x:v>
      </x:c>
      <x:c r="G56" s="114" t="str">
        <x:v>ลองแก้ผ่าน UI และ request โดยตรง</x:v>
      </x:c>
      <x:c r="H56" s="114" t="str">
        <x:v>locked reports</x:v>
      </x:c>
      <x:c r="I56" s="114" t="str">
        <x:v>UI ไม่มีปุ่มและ backend ปฏิเสธการแก้ไข</x:v>
      </x:c>
      <x:c r="J56" s="114" t="str">
        <x:v>Security</x:v>
      </x:c>
      <x:c r="K56" s="114" t="str">
        <x:v>Critical</x:v>
      </x:c>
      <x:c r="L56" s="114" t="str">
        <x:v>Engineer</x:v>
      </x:c>
      <x:c r="M56" s="114" t="str">
        <x:v>UAT</x:v>
      </x:c>
      <x:c r="N56" s="114" t="str"/>
      <x:c r="O56" s="114" t="str">
        <x:v>Not Run</x:v>
      </x:c>
      <x:c r="P56" s="114" t="str"/>
      <x:c r="Q56" s="114" t="str"/>
      <x:c r="R56" s="148" t="str"/>
      <x:c r="S56" s="114" t="str"/>
      <x:c r="T56" s="115" t="str"/>
    </x:row>
    <x:row r="57" ht="58" customHeight="1">
      <x:c r="A57" s="113" t="str">
        <x:v>Yes</x:v>
      </x:c>
      <x:c r="B57" s="114" t="str">
        <x:v>TC-SR-015</x:v>
      </x:c>
      <x:c r="C57" s="114" t="str">
        <x:v>REQ-SR-04</x:v>
      </x:c>
      <x:c r="D57" s="114" t="str">
        <x:v>Service Reports</x:v>
      </x:c>
      <x:c r="E57" s="114" t="str">
        <x:v>ผลตรวจ Abnormal สร้าง Repair Request</x:v>
      </x:c>
      <x:c r="F57" s="114" t="str">
        <x:v>สร้าง/อนุมัติรายงานที่ผล Abnormal</x:v>
      </x:c>
      <x:c r="G57" s="114" t="str">
        <x:v>เลือกผล Abnormal แล้วบันทึกตาม flow</x:v>
      </x:c>
      <x:c r="H57" s="114" t="str">
        <x:v>result=Abnormal</x:v>
      </x:c>
      <x:c r="I57" s="114" t="str">
        <x:v>ระบบสร้างใบแจ้งซ่อม Draft เชื่อมกับรายงาน</x:v>
      </x:c>
      <x:c r="J57" s="114" t="str">
        <x:v>Integration</x:v>
      </x:c>
      <x:c r="K57" s="114" t="str">
        <x:v>Critical</x:v>
      </x:c>
      <x:c r="L57" s="114" t="str">
        <x:v>Admin/Engineer</x:v>
      </x:c>
      <x:c r="M57" s="114" t="str">
        <x:v>UAT</x:v>
      </x:c>
      <x:c r="N57" s="114" t="str"/>
      <x:c r="O57" s="114" t="str">
        <x:v>Not Run</x:v>
      </x:c>
      <x:c r="P57" s="114" t="str"/>
      <x:c r="Q57" s="114" t="str"/>
      <x:c r="R57" s="148" t="str"/>
      <x:c r="S57" s="114" t="str"/>
      <x:c r="T57" s="115" t="str"/>
    </x:row>
    <x:row r="58" ht="58" customHeight="1">
      <x:c r="A58" s="113" t="str">
        <x:v>Yes</x:v>
      </x:c>
      <x:c r="B58" s="114" t="str">
        <x:v>TC-SR-016</x:v>
      </x:c>
      <x:c r="C58" s="114" t="str">
        <x:v>REQ-SR-04</x:v>
      </x:c>
      <x:c r="D58" s="114" t="str">
        <x:v>Service Reports</x:v>
      </x:c>
      <x:c r="E58" s="114" t="str">
        <x:v>Export PDF ภาษาไทยพร้อมรูป</x:v>
      </x:c>
      <x:c r="F58" s="114" t="str">
        <x:v>มีรายงานข้อมูลไทยและรูป 4 รูป</x:v>
      </x:c>
      <x:c r="G58" s="114" t="str">
        <x:v>กด Export PDF</x:v>
      </x:c>
      <x:c r="H58" s="114" t="str">
        <x:v>Thai text + 4 photos</x:v>
      </x:c>
      <x:c r="I58" s="114" t="str">
        <x:v>PDF เปิดได้ ภาษาไทยไม่เพี้ยน รูปและเลขรายงานครบ</x:v>
      </x:c>
      <x:c r="J58" s="114" t="str">
        <x:v>Compatibility</x:v>
      </x:c>
      <x:c r="K58" s="114" t="str">
        <x:v>High</x:v>
      </x:c>
      <x:c r="L58" s="114" t="str">
        <x:v>All</x:v>
      </x:c>
      <x:c r="M58" s="114" t="str">
        <x:v>UAT</x:v>
      </x:c>
      <x:c r="N58" s="114" t="str"/>
      <x:c r="O58" s="114" t="str">
        <x:v>Not Run</x:v>
      </x:c>
      <x:c r="P58" s="114" t="str"/>
      <x:c r="Q58" s="114" t="str"/>
      <x:c r="R58" s="148" t="str"/>
      <x:c r="S58" s="114" t="str"/>
      <x:c r="T58" s="115" t="str"/>
    </x:row>
    <x:row r="59" ht="58" customHeight="1">
      <x:c r="A59" s="113" t="str">
        <x:v>Yes</x:v>
      </x:c>
      <x:c r="B59" s="114" t="str">
        <x:v>TC-RR-001</x:v>
      </x:c>
      <x:c r="C59" s="114" t="str">
        <x:v>REQ-REPAIR-01</x:v>
      </x:c>
      <x:c r="D59" s="114" t="str">
        <x:v>Repair Requests</x:v>
      </x:c>
      <x:c r="E59" s="114" t="str">
        <x:v>สร้างใบแจ้งซ่อม Manual</x:v>
      </x:c>
      <x:c r="F59" s="114" t="str">
        <x:v>เข้าสู่ระบบเป็น admin/engineer</x:v>
      </x:c>
      <x:c r="G59" s="114" t="str">
        <x:v>กดสร้าง กรอก asset อาการ priority แล้วบันทึก</x:v>
      </x:c>
      <x:c r="H59" s="114" t="str">
        <x:v>asset + symptom</x:v>
      </x:c>
      <x:c r="I59" s="114" t="str">
        <x:v>สร้างเลขใบแจ้งซ่อมและสถานะ Draft/Open ตามข้อกำหนด</x:v>
      </x:c>
      <x:c r="J59" s="114" t="str">
        <x:v>Functional</x:v>
      </x:c>
      <x:c r="K59" s="114" t="str">
        <x:v>Critical</x:v>
      </x:c>
      <x:c r="L59" s="114" t="str">
        <x:v>Admin/Engineer</x:v>
      </x:c>
      <x:c r="M59" s="114" t="str">
        <x:v>UAT</x:v>
      </x:c>
      <x:c r="N59" s="114" t="str"/>
      <x:c r="O59" s="114" t="str">
        <x:v>Not Run</x:v>
      </x:c>
      <x:c r="P59" s="114" t="str"/>
      <x:c r="Q59" s="114" t="str"/>
      <x:c r="R59" s="148" t="str"/>
      <x:c r="S59" s="114" t="str"/>
      <x:c r="T59" s="115" t="str"/>
    </x:row>
    <x:row r="60" ht="58" customHeight="1">
      <x:c r="A60" s="113" t="str">
        <x:v>Yes</x:v>
      </x:c>
      <x:c r="B60" s="114" t="str">
        <x:v>TC-RR-002</x:v>
      </x:c>
      <x:c r="C60" s="114" t="str">
        <x:v>REQ-REPAIR-01</x:v>
      </x:c>
      <x:c r="D60" s="114" t="str">
        <x:v>Repair Requests</x:v>
      </x:c>
      <x:c r="E60" s="114" t="str">
        <x:v>ข้อมูลจาก Abnormal Report ถูกเติมอัตโนมัติ</x:v>
      </x:c>
      <x:c r="F60" s="114" t="str">
        <x:v>มี repair request ที่ระบบสร้าง</x:v>
      </x:c>
      <x:c r="G60" s="114" t="str">
        <x:v>เปิดใบแจ้งซ่อม</x:v>
      </x:c>
      <x:c r="H60" s="114" t="str">
        <x:v>linked report</x:v>
      </x:c>
      <x:c r="I60" s="114" t="str">
        <x:v>ไซต์ asset อาการ และ report_id ถูกต้อง</x:v>
      </x:c>
      <x:c r="J60" s="114" t="str">
        <x:v>Integration</x:v>
      </x:c>
      <x:c r="K60" s="114" t="str">
        <x:v>Critical</x:v>
      </x:c>
      <x:c r="L60" s="114" t="str">
        <x:v>Admin/Engineer</x:v>
      </x:c>
      <x:c r="M60" s="114" t="str">
        <x:v>UAT</x:v>
      </x:c>
      <x:c r="N60" s="114" t="str"/>
      <x:c r="O60" s="114" t="str">
        <x:v>Not Run</x:v>
      </x:c>
      <x:c r="P60" s="114" t="str"/>
      <x:c r="Q60" s="114" t="str"/>
      <x:c r="R60" s="148" t="str"/>
      <x:c r="S60" s="114" t="str"/>
      <x:c r="T60" s="115" t="str"/>
    </x:row>
    <x:row r="61" ht="58" customHeight="1">
      <x:c r="A61" s="113" t="str">
        <x:v>Yes</x:v>
      </x:c>
      <x:c r="B61" s="114" t="str">
        <x:v>TC-RR-003</x:v>
      </x:c>
      <x:c r="C61" s="114" t="str">
        <x:v>REQ-REPAIR-01</x:v>
      </x:c>
      <x:c r="D61" s="114" t="str">
        <x:v>Repair Requests</x:v>
      </x:c>
      <x:c r="E61" s="114" t="str">
        <x:v>แก้ไขใบแจ้งซ่อม Draft</x:v>
      </x:c>
      <x:c r="F61" s="114" t="str">
        <x:v>มี Draft repair request</x:v>
      </x:c>
      <x:c r="G61" s="114" t="str">
        <x:v>แก้ผู้รับผิดชอบ/รายละเอียดแล้วบันทึก</x:v>
      </x:c>
      <x:c r="H61" s="114" t="str">
        <x:v>draft request</x:v>
      </x:c>
      <x:c r="I61" s="114" t="str">
        <x:v>ข้อมูลเปลี่ยนและ audit field อัปเดต</x:v>
      </x:c>
      <x:c r="J61" s="114" t="str">
        <x:v>Functional</x:v>
      </x:c>
      <x:c r="K61" s="114" t="str">
        <x:v>High</x:v>
      </x:c>
      <x:c r="L61" s="114" t="str">
        <x:v>Admin/Engineer</x:v>
      </x:c>
      <x:c r="M61" s="114" t="str">
        <x:v>UAT</x:v>
      </x:c>
      <x:c r="N61" s="114" t="str"/>
      <x:c r="O61" s="114" t="str">
        <x:v>Not Run</x:v>
      </x:c>
      <x:c r="P61" s="114" t="str"/>
      <x:c r="Q61" s="114" t="str"/>
      <x:c r="R61" s="148" t="str"/>
      <x:c r="S61" s="114" t="str"/>
      <x:c r="T61" s="115" t="str"/>
    </x:row>
    <x:row r="62" ht="58" customHeight="1">
      <x:c r="A62" s="113" t="str">
        <x:v>Yes</x:v>
      </x:c>
      <x:c r="B62" s="114" t="str">
        <x:v>TC-RR-004</x:v>
      </x:c>
      <x:c r="C62" s="114" t="str">
        <x:v>REQ-REPAIR-02</x:v>
      </x:c>
      <x:c r="D62" s="114" t="str">
        <x:v>Repair Requests</x:v>
      </x:c>
      <x:c r="E62" s="114" t="str">
        <x:v>เปลี่ยนสถานะตาม workflow</x:v>
      </x:c>
      <x:c r="F62" s="114" t="str">
        <x:v>มีใบแจ้งซ่อม Open</x:v>
      </x:c>
      <x:c r="G62" s="114" t="str">
        <x:v>เปลี่ยน Open &gt; In Progress &gt; Completed</x:v>
      </x:c>
      <x:c r="H62" s="114" t="str">
        <x:v>status flow</x:v>
      </x:c>
      <x:c r="I62" s="114" t="str">
        <x:v>เปลี่ยนได้เฉพาะลำดับที่อนุญาต</x:v>
      </x:c>
      <x:c r="J62" s="114" t="str">
        <x:v>Functional</x:v>
      </x:c>
      <x:c r="K62" s="114" t="str">
        <x:v>High</x:v>
      </x:c>
      <x:c r="L62" s="114" t="str">
        <x:v>Admin/Engineer</x:v>
      </x:c>
      <x:c r="M62" s="114" t="str">
        <x:v>UAT</x:v>
      </x:c>
      <x:c r="N62" s="114" t="str"/>
      <x:c r="O62" s="114" t="str">
        <x:v>Not Run</x:v>
      </x:c>
      <x:c r="P62" s="114" t="str"/>
      <x:c r="Q62" s="114" t="str"/>
      <x:c r="R62" s="148" t="str"/>
      <x:c r="S62" s="114" t="str"/>
      <x:c r="T62" s="115" t="str"/>
    </x:row>
    <x:row r="63" ht="58" customHeight="1">
      <x:c r="A63" s="113" t="str">
        <x:v>Yes</x:v>
      </x:c>
      <x:c r="B63" s="114" t="str">
        <x:v>TC-RR-005</x:v>
      </x:c>
      <x:c r="C63" s="114" t="str">
        <x:v>REQ-REPAIR-02</x:v>
      </x:c>
      <x:c r="D63" s="114" t="str">
        <x:v>Repair Requests</x:v>
      </x:c>
      <x:c r="E63" s="114" t="str">
        <x:v>กรองและค้นหาใบแจ้งซ่อม</x:v>
      </x:c>
      <x:c r="F63" s="114" t="str">
        <x:v>มีหลายรายการ</x:v>
      </x:c>
      <x:c r="G63" s="114" t="str">
        <x:v>ค้นหาเลขใบ/asset และกรองสถานะ</x:v>
      </x:c>
      <x:c r="H63" s="114" t="str">
        <x:v>คำค้นบางส่วน</x:v>
      </x:c>
      <x:c r="I63" s="114" t="str">
        <x:v>ผลลัพธ์ตรงเงื่อนไข</x:v>
      </x:c>
      <x:c r="J63" s="114" t="str">
        <x:v>Functional</x:v>
      </x:c>
      <x:c r="K63" s="114" t="str">
        <x:v>Medium</x:v>
      </x:c>
      <x:c r="L63" s="114" t="str">
        <x:v>Admin/Engineer</x:v>
      </x:c>
      <x:c r="M63" s="114" t="str">
        <x:v>UAT</x:v>
      </x:c>
      <x:c r="N63" s="114" t="str"/>
      <x:c r="O63" s="114" t="str">
        <x:v>Not Run</x:v>
      </x:c>
      <x:c r="P63" s="114" t="str"/>
      <x:c r="Q63" s="114" t="str"/>
      <x:c r="R63" s="148" t="str"/>
      <x:c r="S63" s="114" t="str"/>
      <x:c r="T63" s="115" t="str"/>
    </x:row>
    <x:row r="64" ht="58" customHeight="1">
      <x:c r="A64" s="113" t="str">
        <x:v>Yes</x:v>
      </x:c>
      <x:c r="B64" s="114" t="str">
        <x:v>TC-RR-006</x:v>
      </x:c>
      <x:c r="C64" s="114" t="str">
        <x:v>REQ-REPAIR-02</x:v>
      </x:c>
      <x:c r="D64" s="114" t="str">
        <x:v>Repair Requests</x:v>
      </x:c>
      <x:c r="E64" s="114" t="str">
        <x:v>แยกใบแจ้งซ่อมตามไซต์</x:v>
      </x:c>
      <x:c r="F64" s="114" t="str">
        <x:v>มีข้อมูล 2 ไซต์</x:v>
      </x:c>
      <x:c r="G64" s="114" t="str">
        <x:v>สลับไซต์แล้วเปิดรายการ</x:v>
      </x:c>
      <x:c r="H64" s="114" t="str">
        <x:v>site-001, site-002</x:v>
      </x:c>
      <x:c r="I64" s="114" t="str">
        <x:v>เห็นเฉพาะข้อมูลไซต์ปัจจุบัน</x:v>
      </x:c>
      <x:c r="J64" s="114" t="str">
        <x:v>Security</x:v>
      </x:c>
      <x:c r="K64" s="114" t="str">
        <x:v>Critical</x:v>
      </x:c>
      <x:c r="L64" s="114" t="str">
        <x:v>All</x:v>
      </x:c>
      <x:c r="M64" s="114" t="str">
        <x:v>UAT</x:v>
      </x:c>
      <x:c r="N64" s="114" t="str"/>
      <x:c r="O64" s="114" t="str">
        <x:v>Not Run</x:v>
      </x:c>
      <x:c r="P64" s="114" t="str"/>
      <x:c r="Q64" s="114" t="str"/>
      <x:c r="R64" s="148" t="str"/>
      <x:c r="S64" s="114" t="str"/>
      <x:c r="T64" s="115" t="str"/>
    </x:row>
    <x:row r="65" ht="58" customHeight="1">
      <x:c r="A65" s="113" t="str">
        <x:v>Yes</x:v>
      </x:c>
      <x:c r="B65" s="114" t="str">
        <x:v>TC-RR-007</x:v>
      </x:c>
      <x:c r="C65" s="114" t="str">
        <x:v>REQ-REPAIR-02</x:v>
      </x:c>
      <x:c r="D65" s="114" t="str">
        <x:v>Repair Requests</x:v>
      </x:c>
      <x:c r="E65" s="114" t="str">
        <x:v>Export PDF ใบแจ้งซ่อม</x:v>
      </x:c>
      <x:c r="F65" s="114" t="str">
        <x:v>มีใบแจ้งซ่อมสมบูรณ์</x:v>
      </x:c>
      <x:c r="G65" s="114" t="str">
        <x:v>กด Export PDF</x:v>
      </x:c>
      <x:c r="H65" s="114" t="str">
        <x:v>Thai request</x:v>
      </x:c>
      <x:c r="I65" s="114" t="str">
        <x:v>PDF เปิดได้และข้อมูลไทย/เลขเอกสารถูกต้อง</x:v>
      </x:c>
      <x:c r="J65" s="114" t="str">
        <x:v>Compatibility</x:v>
      </x:c>
      <x:c r="K65" s="114" t="str">
        <x:v>High</x:v>
      </x:c>
      <x:c r="L65" s="114" t="str">
        <x:v>All</x:v>
      </x:c>
      <x:c r="M65" s="114" t="str">
        <x:v>UAT</x:v>
      </x:c>
      <x:c r="N65" s="114" t="str"/>
      <x:c r="O65" s="114" t="str">
        <x:v>Not Run</x:v>
      </x:c>
      <x:c r="P65" s="114" t="str"/>
      <x:c r="Q65" s="114" t="str"/>
      <x:c r="R65" s="148" t="str"/>
      <x:c r="S65" s="114" t="str"/>
      <x:c r="T65" s="115" t="str"/>
    </x:row>
    <x:row r="66" ht="58" customHeight="1">
      <x:c r="A66" s="113" t="str">
        <x:v>Yes</x:v>
      </x:c>
      <x:c r="B66" s="114" t="str">
        <x:v>TC-RPT-001</x:v>
      </x:c>
      <x:c r="C66" s="114" t="str">
        <x:v>REQ-REPORT-01</x:v>
      </x:c>
      <x:c r="D66" s="114" t="str">
        <x:v>Reports</x:v>
      </x:c>
      <x:c r="E66" s="114" t="str">
        <x:v>รายงานสรุปรายปี</x:v>
      </x:c>
      <x:c r="F66" s="114" t="str">
        <x:v>มีข้อมูลหลายเดือน</x:v>
      </x:c>
      <x:c r="G66" s="114" t="str">
        <x:v>เลือกปีและเปิดรายงานสรุป</x:v>
      </x:c>
      <x:c r="H66" s="114" t="str">
        <x:v>ปีปัจจุบัน</x:v>
      </x:c>
      <x:c r="I66" s="114" t="str">
        <x:v>ยอด Plan/Actual/Remaining ตรงกับ Dashboard</x:v>
      </x:c>
      <x:c r="J66" s="114" t="str">
        <x:v>Functional</x:v>
      </x:c>
      <x:c r="K66" s="114" t="str">
        <x:v>High</x:v>
      </x:c>
      <x:c r="L66" s="114" t="str">
        <x:v>All</x:v>
      </x:c>
      <x:c r="M66" s="114" t="str">
        <x:v>UAT</x:v>
      </x:c>
      <x:c r="N66" s="114" t="str"/>
      <x:c r="O66" s="114" t="str">
        <x:v>Not Run</x:v>
      </x:c>
      <x:c r="P66" s="114" t="str"/>
      <x:c r="Q66" s="114" t="str"/>
      <x:c r="R66" s="148" t="str"/>
      <x:c r="S66" s="114" t="str"/>
      <x:c r="T66" s="115" t="str"/>
    </x:row>
    <x:row r="67" ht="58" customHeight="1">
      <x:c r="A67" s="113" t="str">
        <x:v>Yes</x:v>
      </x:c>
      <x:c r="B67" s="114" t="str">
        <x:v>TC-RPT-002</x:v>
      </x:c>
      <x:c r="C67" s="114" t="str">
        <x:v>REQ-REPORT-01</x:v>
      </x:c>
      <x:c r="D67" s="114" t="str">
        <x:v>Reports</x:v>
      </x:c>
      <x:c r="E67" s="114" t="str">
        <x:v>รายงานรายเดือน</x:v>
      </x:c>
      <x:c r="F67" s="114" t="str">
        <x:v>มีรายงาน Approved หลายเดือน</x:v>
      </x:c>
      <x:c r="G67" s="114" t="str">
        <x:v>เลือกเดือนและตรวจรายการ</x:v>
      </x:c>
      <x:c r="H67" s="114" t="str">
        <x:v>เดือนที่มีข้อมูล</x:v>
      </x:c>
      <x:c r="I67" s="114" t="str">
        <x:v>แสดงเฉพาะเดือนและไซต์ที่เลือก</x:v>
      </x:c>
      <x:c r="J67" s="114" t="str">
        <x:v>Functional</x:v>
      </x:c>
      <x:c r="K67" s="114" t="str">
        <x:v>High</x:v>
      </x:c>
      <x:c r="L67" s="114" t="str">
        <x:v>All</x:v>
      </x:c>
      <x:c r="M67" s="114" t="str">
        <x:v>UAT</x:v>
      </x:c>
      <x:c r="N67" s="114" t="str"/>
      <x:c r="O67" s="114" t="str">
        <x:v>Not Run</x:v>
      </x:c>
      <x:c r="P67" s="114" t="str"/>
      <x:c r="Q67" s="114" t="str"/>
      <x:c r="R67" s="148" t="str"/>
      <x:c r="S67" s="114" t="str"/>
      <x:c r="T67" s="115" t="str"/>
    </x:row>
    <x:row r="68" ht="58" customHeight="1">
      <x:c r="A68" s="113" t="str">
        <x:v>Yes</x:v>
      </x:c>
      <x:c r="B68" s="114" t="str">
        <x:v>TC-RPT-003</x:v>
      </x:c>
      <x:c r="C68" s="114" t="str">
        <x:v>REQ-REPORT-01</x:v>
      </x:c>
      <x:c r="D68" s="114" t="str">
        <x:v>Reports</x:v>
      </x:c>
      <x:c r="E68" s="114" t="str">
        <x:v>รายงานตามรอบ PM</x:v>
      </x:c>
      <x:c r="F68" s="114" t="str">
        <x:v>มีหลาย cycle</x:v>
      </x:c>
      <x:c r="G68" s="114" t="str">
        <x:v>เลือกแผนและรอบ</x:v>
      </x:c>
      <x:c r="H68" s="114" t="str">
        <x:v>cycle 1-12</x:v>
      </x:c>
      <x:c r="I68" s="114" t="str">
        <x:v>แสดงรายงานที่เชื่อมกับรอบนั้น</x:v>
      </x:c>
      <x:c r="J68" s="114" t="str">
        <x:v>Functional</x:v>
      </x:c>
      <x:c r="K68" s="114" t="str">
        <x:v>Medium</x:v>
      </x:c>
      <x:c r="L68" s="114" t="str">
        <x:v>All</x:v>
      </x:c>
      <x:c r="M68" s="114" t="str">
        <x:v>UAT</x:v>
      </x:c>
      <x:c r="N68" s="114" t="str"/>
      <x:c r="O68" s="114" t="str">
        <x:v>Not Run</x:v>
      </x:c>
      <x:c r="P68" s="114" t="str"/>
      <x:c r="Q68" s="114" t="str"/>
      <x:c r="R68" s="148" t="str"/>
      <x:c r="S68" s="114" t="str"/>
      <x:c r="T68" s="115" t="str"/>
    </x:row>
    <x:row r="69" ht="58" customHeight="1">
      <x:c r="A69" s="113" t="str">
        <x:v>Yes</x:v>
      </x:c>
      <x:c r="B69" s="114" t="str">
        <x:v>TC-RPT-004</x:v>
      </x:c>
      <x:c r="C69" s="114" t="str">
        <x:v>REQ-REPORT-01</x:v>
      </x:c>
      <x:c r="D69" s="114" t="str">
        <x:v>Reports</x:v>
      </x:c>
      <x:c r="E69" s="114" t="str">
        <x:v>ไม่นับ Draft/Rejected ในผลงานจริง</x:v>
      </x:c>
      <x:c r="F69" s="114" t="str">
        <x:v>มีหลายสถานะ</x:v>
      </x:c>
      <x:c r="G69" s="114" t="str">
        <x:v>เทียบรายงานกับ raw list</x:v>
      </x:c>
      <x:c r="H69" s="114" t="str">
        <x:v>Draft/Rejected/Approved</x:v>
      </x:c>
      <x:c r="I69" s="114" t="str">
        <x:v>Actual ใช้เฉพาะ Approved</x:v>
      </x:c>
      <x:c r="J69" s="114" t="str">
        <x:v>Regression</x:v>
      </x:c>
      <x:c r="K69" s="114" t="str">
        <x:v>Critical</x:v>
      </x:c>
      <x:c r="L69" s="114" t="str">
        <x:v>All</x:v>
      </x:c>
      <x:c r="M69" s="114" t="str">
        <x:v>UAT</x:v>
      </x:c>
      <x:c r="N69" s="114" t="str"/>
      <x:c r="O69" s="114" t="str">
        <x:v>Not Run</x:v>
      </x:c>
      <x:c r="P69" s="114" t="str"/>
      <x:c r="Q69" s="114" t="str"/>
      <x:c r="R69" s="148" t="str"/>
      <x:c r="S69" s="114" t="str"/>
      <x:c r="T69" s="115" t="str"/>
    </x:row>
    <x:row r="70" ht="58" customHeight="1">
      <x:c r="A70" s="113" t="str">
        <x:v>Yes</x:v>
      </x:c>
      <x:c r="B70" s="114" t="str">
        <x:v>TC-RPT-005</x:v>
      </x:c>
      <x:c r="C70" s="114" t="str">
        <x:v>REQ-REPORT-01</x:v>
      </x:c>
      <x:c r="D70" s="114" t="str">
        <x:v>Reports</x:v>
      </x:c>
      <x:c r="E70" s="114" t="str">
        <x:v>ผลรายงานแยกตามไซต์</x:v>
      </x:c>
      <x:c r="F70" s="114" t="str">
        <x:v>มีข้อมูล 2 ไซต์</x:v>
      </x:c>
      <x:c r="G70" s="114" t="str">
        <x:v>สลับไซต์และเทียบผล</x:v>
      </x:c>
      <x:c r="H70" s="114" t="str">
        <x:v>site-001, site-002</x:v>
      </x:c>
      <x:c r="I70" s="114" t="str">
        <x:v>ไม่มีข้อมูลข้ามไซต์</x:v>
      </x:c>
      <x:c r="J70" s="114" t="str">
        <x:v>Security</x:v>
      </x:c>
      <x:c r="K70" s="114" t="str">
        <x:v>Critical</x:v>
      </x:c>
      <x:c r="L70" s="114" t="str">
        <x:v>All</x:v>
      </x:c>
      <x:c r="M70" s="114" t="str">
        <x:v>UAT</x:v>
      </x:c>
      <x:c r="N70" s="114" t="str"/>
      <x:c r="O70" s="114" t="str">
        <x:v>Not Run</x:v>
      </x:c>
      <x:c r="P70" s="114" t="str"/>
      <x:c r="Q70" s="114" t="str"/>
      <x:c r="R70" s="148" t="str"/>
      <x:c r="S70" s="114" t="str"/>
      <x:c r="T70" s="115" t="str"/>
    </x:row>
    <x:row r="71" ht="58" customHeight="1">
      <x:c r="A71" s="113" t="str">
        <x:v>Yes</x:v>
      </x:c>
      <x:c r="B71" s="114" t="str">
        <x:v>TC-AST-001</x:v>
      </x:c>
      <x:c r="C71" s="114" t="str">
        <x:v>REQ-ASSET-01</x:v>
      </x:c>
      <x:c r="D71" s="114" t="str">
        <x:v>Assets</x:v>
      </x:c>
      <x:c r="E71" s="114" t="str">
        <x:v>แสดงรายการทรัพย์สินของไซต์</x:v>
      </x:c>
      <x:c r="F71" s="114" t="str">
        <x:v>มี asset หลายไซต์</x:v>
      </x:c>
      <x:c r="G71" s="114" t="str">
        <x:v>เปิดหน้า Assets</x:v>
      </x:c>
      <x:c r="H71" s="114" t="str">
        <x:v>site-001</x:v>
      </x:c>
      <x:c r="I71" s="114" t="str">
        <x:v>เห็นเฉพาะ asset ของไซต์ปัจจุบัน</x:v>
      </x:c>
      <x:c r="J71" s="114" t="str">
        <x:v>Functional</x:v>
      </x:c>
      <x:c r="K71" s="114" t="str">
        <x:v>Critical</x:v>
      </x:c>
      <x:c r="L71" s="114" t="str">
        <x:v>All</x:v>
      </x:c>
      <x:c r="M71" s="114" t="str">
        <x:v>UAT</x:v>
      </x:c>
      <x:c r="N71" s="114" t="str"/>
      <x:c r="O71" s="114" t="str">
        <x:v>Not Run</x:v>
      </x:c>
      <x:c r="P71" s="114" t="str"/>
      <x:c r="Q71" s="114" t="str"/>
      <x:c r="R71" s="148" t="str"/>
      <x:c r="S71" s="114" t="str"/>
      <x:c r="T71" s="115" t="str"/>
    </x:row>
    <x:row r="72" ht="58" customHeight="1">
      <x:c r="A72" s="113" t="str">
        <x:v>Yes</x:v>
      </x:c>
      <x:c r="B72" s="114" t="str">
        <x:v>TC-AST-002</x:v>
      </x:c>
      <x:c r="C72" s="114" t="str">
        <x:v>REQ-ASSET-01</x:v>
      </x:c>
      <x:c r="D72" s="114" t="str">
        <x:v>Assets</x:v>
      </x:c>
      <x:c r="E72" s="114" t="str">
        <x:v>ค้นหาทรัพย์สิน</x:v>
      </x:c>
      <x:c r="F72" s="114" t="str">
        <x:v>มีหลาย asset</x:v>
      </x:c>
      <x:c r="G72" s="114" t="str">
        <x:v>ค้นหาด้วยรหัส/ชื่อ/serial</x:v>
      </x:c>
      <x:c r="H72" s="114" t="str">
        <x:v>คำค้นบางส่วน</x:v>
      </x:c>
      <x:c r="I72" s="114" t="str">
        <x:v>พบรายการที่ตรง</x:v>
      </x:c>
      <x:c r="J72" s="114" t="str">
        <x:v>Functional</x:v>
      </x:c>
      <x:c r="K72" s="114" t="str">
        <x:v>Medium</x:v>
      </x:c>
      <x:c r="L72" s="114" t="str">
        <x:v>All</x:v>
      </x:c>
      <x:c r="M72" s="114" t="str">
        <x:v>UAT</x:v>
      </x:c>
      <x:c r="N72" s="114" t="str"/>
      <x:c r="O72" s="114" t="str">
        <x:v>Not Run</x:v>
      </x:c>
      <x:c r="P72" s="114" t="str"/>
      <x:c r="Q72" s="114" t="str"/>
      <x:c r="R72" s="148" t="str"/>
      <x:c r="S72" s="114" t="str"/>
      <x:c r="T72" s="115" t="str"/>
    </x:row>
    <x:row r="73" ht="58" customHeight="1">
      <x:c r="A73" s="113" t="str">
        <x:v>Yes</x:v>
      </x:c>
      <x:c r="B73" s="114" t="str">
        <x:v>TC-AST-003</x:v>
      </x:c>
      <x:c r="C73" s="114" t="str">
        <x:v>REQ-ASSET-01</x:v>
      </x:c>
      <x:c r="D73" s="114" t="str">
        <x:v>Assets</x:v>
      </x:c>
      <x:c r="E73" s="114" t="str">
        <x:v>กรองตามประเภทและสถานะ</x:v>
      </x:c>
      <x:c r="F73" s="114" t="str">
        <x:v>มี asset หลายประเภท</x:v>
      </x:c>
      <x:c r="G73" s="114" t="str">
        <x:v>เลือก filter</x:v>
      </x:c>
      <x:c r="H73" s="114" t="str">
        <x:v>AC/Active</x:v>
      </x:c>
      <x:c r="I73" s="114" t="str">
        <x:v>รายการตรง filter และล้างได้</x:v>
      </x:c>
      <x:c r="J73" s="114" t="str">
        <x:v>Functional</x:v>
      </x:c>
      <x:c r="K73" s="114" t="str">
        <x:v>Medium</x:v>
      </x:c>
      <x:c r="L73" s="114" t="str">
        <x:v>All</x:v>
      </x:c>
      <x:c r="M73" s="114" t="str">
        <x:v>UAT</x:v>
      </x:c>
      <x:c r="N73" s="114" t="str"/>
      <x:c r="O73" s="114" t="str">
        <x:v>Not Run</x:v>
      </x:c>
      <x:c r="P73" s="114" t="str"/>
      <x:c r="Q73" s="114" t="str"/>
      <x:c r="R73" s="148" t="str"/>
      <x:c r="S73" s="114" t="str"/>
      <x:c r="T73" s="115" t="str"/>
    </x:row>
    <x:row r="74" ht="58" customHeight="1">
      <x:c r="A74" s="113" t="str">
        <x:v>Yes</x:v>
      </x:c>
      <x:c r="B74" s="114" t="str">
        <x:v>TC-AST-004</x:v>
      </x:c>
      <x:c r="C74" s="114" t="str">
        <x:v>REQ-ASSET-01</x:v>
      </x:c>
      <x:c r="D74" s="114" t="str">
        <x:v>Assets</x:v>
      </x:c>
      <x:c r="E74" s="114" t="str">
        <x:v>เปิดรายละเอียดและประวัติงาน</x:v>
      </x:c>
      <x:c r="F74" s="114" t="str">
        <x:v>asset มี WO/report</x:v>
      </x:c>
      <x:c r="G74" s="114" t="str">
        <x:v>เปิดรายละเอียด asset</x:v>
      </x:c>
      <x:c r="H74" s="114" t="str">
        <x:v>asset with history</x:v>
      </x:c>
      <x:c r="I74" s="114" t="str">
        <x:v>ข้อมูลหลักและประวัติเชื่อมโยงถูกต้อง</x:v>
      </x:c>
      <x:c r="J74" s="114" t="str">
        <x:v>Integration</x:v>
      </x:c>
      <x:c r="K74" s="114" t="str">
        <x:v>High</x:v>
      </x:c>
      <x:c r="L74" s="114" t="str">
        <x:v>All</x:v>
      </x:c>
      <x:c r="M74" s="114" t="str">
        <x:v>UAT</x:v>
      </x:c>
      <x:c r="N74" s="114" t="str"/>
      <x:c r="O74" s="114" t="str">
        <x:v>Not Run</x:v>
      </x:c>
      <x:c r="P74" s="114" t="str"/>
      <x:c r="Q74" s="114" t="str"/>
      <x:c r="R74" s="148" t="str"/>
      <x:c r="S74" s="114" t="str"/>
      <x:c r="T74" s="115" t="str"/>
    </x:row>
    <x:row r="75" ht="58" customHeight="1">
      <x:c r="A75" s="113" t="str">
        <x:v>Yes</x:v>
      </x:c>
      <x:c r="B75" s="114" t="str">
        <x:v>TC-ALT-001</x:v>
      </x:c>
      <x:c r="C75" s="114" t="str">
        <x:v>REQ-ALERT-01</x:v>
      </x:c>
      <x:c r="D75" s="114" t="str">
        <x:v>Alerts</x:v>
      </x:c>
      <x:c r="E75" s="114" t="str">
        <x:v>แสดงรายการ Alert ของไซต์</x:v>
      </x:c>
      <x:c r="F75" s="114" t="str">
        <x:v>มี alerts หลายไซต์</x:v>
      </x:c>
      <x:c r="G75" s="114" t="str">
        <x:v>เปิดหน้า Alerts</x:v>
      </x:c>
      <x:c r="H75" s="114" t="str">
        <x:v>site-001</x:v>
      </x:c>
      <x:c r="I75" s="114" t="str">
        <x:v>แสดงเฉพาะ Alert ของไซต์ปัจจุบัน</x:v>
      </x:c>
      <x:c r="J75" s="114" t="str">
        <x:v>Security</x:v>
      </x:c>
      <x:c r="K75" s="114" t="str">
        <x:v>Critical</x:v>
      </x:c>
      <x:c r="L75" s="114" t="str">
        <x:v>Admin/Engineer</x:v>
      </x:c>
      <x:c r="M75" s="114" t="str">
        <x:v>UAT</x:v>
      </x:c>
      <x:c r="N75" s="114" t="str"/>
      <x:c r="O75" s="114" t="str">
        <x:v>Not Run</x:v>
      </x:c>
      <x:c r="P75" s="114" t="str"/>
      <x:c r="Q75" s="114" t="str"/>
      <x:c r="R75" s="148" t="str"/>
      <x:c r="S75" s="114" t="str"/>
      <x:c r="T75" s="115" t="str"/>
    </x:row>
    <x:row r="76" ht="58" customHeight="1">
      <x:c r="A76" s="113" t="str">
        <x:v>Yes</x:v>
      </x:c>
      <x:c r="B76" s="114" t="str">
        <x:v>TC-ALT-002</x:v>
      </x:c>
      <x:c r="C76" s="114" t="str">
        <x:v>REQ-ALERT-01</x:v>
      </x:c>
      <x:c r="D76" s="114" t="str">
        <x:v>Alerts</x:v>
      </x:c>
      <x:c r="E76" s="114" t="str">
        <x:v>Acknowledge Alert</x:v>
      </x:c>
      <x:c r="F76" s="114" t="str">
        <x:v>มี Alert ใหม่</x:v>
      </x:c>
      <x:c r="G76" s="114" t="str">
        <x:v>เปิด Alert และกด Acknowledge</x:v>
      </x:c>
      <x:c r="H76" s="114" t="str">
        <x:v>new alert</x:v>
      </x:c>
      <x:c r="I76" s="114" t="str">
        <x:v>สถานะ/ผู้รับทราบ/เวลาถูกบันทึก</x:v>
      </x:c>
      <x:c r="J76" s="114" t="str">
        <x:v>Functional</x:v>
      </x:c>
      <x:c r="K76" s="114" t="str">
        <x:v>High</x:v>
      </x:c>
      <x:c r="L76" s="114" t="str">
        <x:v>Admin/Engineer</x:v>
      </x:c>
      <x:c r="M76" s="114" t="str">
        <x:v>UAT</x:v>
      </x:c>
      <x:c r="N76" s="114" t="str"/>
      <x:c r="O76" s="114" t="str">
        <x:v>Not Run</x:v>
      </x:c>
      <x:c r="P76" s="114" t="str"/>
      <x:c r="Q76" s="114" t="str"/>
      <x:c r="R76" s="148" t="str"/>
      <x:c r="S76" s="114" t="str"/>
      <x:c r="T76" s="115" t="str"/>
    </x:row>
    <x:row r="77" ht="58" customHeight="1">
      <x:c r="A77" s="113" t="str">
        <x:v>Yes</x:v>
      </x:c>
      <x:c r="B77" s="114" t="str">
        <x:v>TC-ALT-003</x:v>
      </x:c>
      <x:c r="C77" s="114" t="str">
        <x:v>REQ-ALERT-01</x:v>
      </x:c>
      <x:c r="D77" s="114" t="str">
        <x:v>Alerts</x:v>
      </x:c>
      <x:c r="E77" s="114" t="str">
        <x:v>สร้าง Work Order จาก Alert</x:v>
      </x:c>
      <x:c r="F77" s="114" t="str">
        <x:v>มี Alert ที่ยังไม่มีงาน</x:v>
      </x:c>
      <x:c r="G77" s="114" t="str">
        <x:v>กดสร้าง Work Order</x:v>
      </x:c>
      <x:c r="H77" s="114" t="str">
        <x:v>alert critical</x:v>
      </x:c>
      <x:c r="I77" s="114" t="str">
        <x:v>สร้างงานเชื่อม alert_id และดึง asset/รายละเอียด</x:v>
      </x:c>
      <x:c r="J77" s="114" t="str">
        <x:v>Integration</x:v>
      </x:c>
      <x:c r="K77" s="114" t="str">
        <x:v>Critical</x:v>
      </x:c>
      <x:c r="L77" s="114" t="str">
        <x:v>Admin/Engineer</x:v>
      </x:c>
      <x:c r="M77" s="114" t="str">
        <x:v>UAT</x:v>
      </x:c>
      <x:c r="N77" s="114" t="str"/>
      <x:c r="O77" s="114" t="str">
        <x:v>Not Run</x:v>
      </x:c>
      <x:c r="P77" s="114" t="str"/>
      <x:c r="Q77" s="114" t="str"/>
      <x:c r="R77" s="148" t="str"/>
      <x:c r="S77" s="114" t="str"/>
      <x:c r="T77" s="115" t="str"/>
    </x:row>
    <x:row r="78" ht="58" customHeight="1">
      <x:c r="A78" s="113" t="str">
        <x:v>Yes</x:v>
      </x:c>
      <x:c r="B78" s="114" t="str">
        <x:v>TC-ALT-004</x:v>
      </x:c>
      <x:c r="C78" s="114" t="str">
        <x:v>REQ-ALERT-01</x:v>
      </x:c>
      <x:c r="D78" s="114" t="str">
        <x:v>Alerts</x:v>
      </x:c>
      <x:c r="E78" s="114" t="str">
        <x:v>ป้องกันสร้าง Work Order ซ้ำจาก Alert</x:v>
      </x:c>
      <x:c r="F78" s="114" t="str">
        <x:v>Alert มี work order แล้ว</x:v>
      </x:c>
      <x:c r="G78" s="114" t="str">
        <x:v>กดสร้างงานอีกครั้ง</x:v>
      </x:c>
      <x:c r="H78" s="114" t="str">
        <x:v>linked alert</x:v>
      </x:c>
      <x:c r="I78" s="114" t="str">
        <x:v>ไม่สร้างซ้ำและพาไปงานเดิมหรือแจ้งเตือน</x:v>
      </x:c>
      <x:c r="J78" s="114" t="str">
        <x:v>Negative</x:v>
      </x:c>
      <x:c r="K78" s="114" t="str">
        <x:v>High</x:v>
      </x:c>
      <x:c r="L78" s="114" t="str">
        <x:v>Admin/Engineer</x:v>
      </x:c>
      <x:c r="M78" s="114" t="str">
        <x:v>UAT</x:v>
      </x:c>
      <x:c r="N78" s="114" t="str"/>
      <x:c r="O78" s="114" t="str">
        <x:v>Not Run</x:v>
      </x:c>
      <x:c r="P78" s="114" t="str"/>
      <x:c r="Q78" s="114" t="str"/>
      <x:c r="R78" s="148" t="str"/>
      <x:c r="S78" s="114" t="str"/>
      <x:c r="T78" s="115" t="str"/>
    </x:row>
    <x:row r="79" ht="58" customHeight="1">
      <x:c r="A79" s="113" t="str">
        <x:v>Yes</x:v>
      </x:c>
      <x:c r="B79" s="114" t="str">
        <x:v>TC-IOT-001</x:v>
      </x:c>
      <x:c r="C79" s="114" t="str">
        <x:v>REQ-IOT-01</x:v>
      </x:c>
      <x:c r="D79" s="114" t="str">
        <x:v>IoT Monitoring</x:v>
      </x:c>
      <x:c r="E79" s="114" t="str">
        <x:v>แสดง telemetry ล่าสุด</x:v>
      </x:c>
      <x:c r="F79" s="114" t="str">
        <x:v>มีข้อมูล sensor</x:v>
      </x:c>
      <x:c r="G79" s="114" t="str">
        <x:v>เปิดหน้า IoT</x:v>
      </x:c>
      <x:c r="H79" s="114" t="str">
        <x:v>temperature/pressure/status</x:v>
      </x:c>
      <x:c r="I79" s="114" t="str">
        <x:v>ค่า เวลา หน่วย และ asset ตรงกับข้อมูลล่าสุด</x:v>
      </x:c>
      <x:c r="J79" s="114" t="str">
        <x:v>Integration</x:v>
      </x:c>
      <x:c r="K79" s="114" t="str">
        <x:v>High</x:v>
      </x:c>
      <x:c r="L79" s="114" t="str">
        <x:v>Admin/Engineer</x:v>
      </x:c>
      <x:c r="M79" s="114" t="str">
        <x:v>UAT</x:v>
      </x:c>
      <x:c r="N79" s="114" t="str"/>
      <x:c r="O79" s="114" t="str">
        <x:v>Not Run</x:v>
      </x:c>
      <x:c r="P79" s="114" t="str"/>
      <x:c r="Q79" s="114" t="str"/>
      <x:c r="R79" s="148" t="str"/>
      <x:c r="S79" s="114" t="str"/>
      <x:c r="T79" s="115" t="str"/>
    </x:row>
    <x:row r="80" ht="58" customHeight="1">
      <x:c r="A80" s="113" t="str">
        <x:v>Yes</x:v>
      </x:c>
      <x:c r="B80" s="114" t="str">
        <x:v>TC-IOT-002</x:v>
      </x:c>
      <x:c r="C80" s="114" t="str">
        <x:v>REQ-IOT-01</x:v>
      </x:c>
      <x:c r="D80" s="114" t="str">
        <x:v>IoT Monitoring</x:v>
      </x:c>
      <x:c r="E80" s="114" t="str">
        <x:v>สถานะอุปกรณ์ Offline</x:v>
      </x:c>
      <x:c r="F80" s="114" t="str">
        <x:v>ไม่มี telemetry เกิน threshold</x:v>
      </x:c>
      <x:c r="G80" s="114" t="str">
        <x:v>เปิดหน้า IoT</x:v>
      </x:c>
      <x:c r="H80" s="114" t="str">
        <x:v>stale timestamp</x:v>
      </x:c>
      <x:c r="I80" s="114" t="str">
        <x:v>แสดง Offline/Last seen อย่างชัดเจน</x:v>
      </x:c>
      <x:c r="J80" s="114" t="str">
        <x:v>Functional</x:v>
      </x:c>
      <x:c r="K80" s="114" t="str">
        <x:v>High</x:v>
      </x:c>
      <x:c r="L80" s="114" t="str">
        <x:v>Admin/Engineer</x:v>
      </x:c>
      <x:c r="M80" s="114" t="str">
        <x:v>UAT</x:v>
      </x:c>
      <x:c r="N80" s="114" t="str"/>
      <x:c r="O80" s="114" t="str">
        <x:v>Not Run</x:v>
      </x:c>
      <x:c r="P80" s="114" t="str"/>
      <x:c r="Q80" s="114" t="str"/>
      <x:c r="R80" s="148" t="str"/>
      <x:c r="S80" s="114" t="str"/>
      <x:c r="T80" s="115" t="str"/>
    </x:row>
    <x:row r="81" ht="58" customHeight="1">
      <x:c r="A81" s="113" t="str">
        <x:v>Yes</x:v>
      </x:c>
      <x:c r="B81" s="114" t="str">
        <x:v>TC-IOT-003</x:v>
      </x:c>
      <x:c r="C81" s="114" t="str">
        <x:v>REQ-IOT-01</x:v>
      </x:c>
      <x:c r="D81" s="114" t="str">
        <x:v>IoT Monitoring</x:v>
      </x:c>
      <x:c r="E81" s="114" t="str">
        <x:v>Viewer ไม่มีเมนู Alerts/IoT</x:v>
      </x:c>
      <x:c r="F81" s="114" t="str">
        <x:v>เข้าสู่ระบบเป็น user</x:v>
      </x:c>
      <x:c r="G81" s="114" t="str">
        <x:v>ตรวจ Sidebar และเข้าผ่าน URL</x:v>
      </x:c>
      <x:c r="H81" s="114" t="str">
        <x:v>user</x:v>
      </x:c>
      <x:c r="I81" s="114" t="str">
        <x:v>ไม่เห็นเมนูและเข้าหน้าจัดการไม่ได้</x:v>
      </x:c>
      <x:c r="J81" s="114" t="str">
        <x:v>Security</x:v>
      </x:c>
      <x:c r="K81" s="114" t="str">
        <x:v>Critical</x:v>
      </x:c>
      <x:c r="L81" s="114" t="str">
        <x:v>Viewer</x:v>
      </x:c>
      <x:c r="M81" s="114" t="str">
        <x:v>UAT</x:v>
      </x:c>
      <x:c r="N81" s="114" t="str"/>
      <x:c r="O81" s="114" t="str">
        <x:v>Not Run</x:v>
      </x:c>
      <x:c r="P81" s="114" t="str"/>
      <x:c r="Q81" s="114" t="str"/>
      <x:c r="R81" s="148" t="str"/>
      <x:c r="S81" s="114" t="str"/>
      <x:c r="T81" s="115" t="str"/>
    </x:row>
    <x:row r="82" ht="58" customHeight="1">
      <x:c r="A82" s="113" t="str">
        <x:v>Yes</x:v>
      </x:c>
      <x:c r="B82" s="114" t="str">
        <x:v>TC-USR-001</x:v>
      </x:c>
      <x:c r="C82" s="114" t="str">
        <x:v>REQ-PROFILE-01</x:v>
      </x:c>
      <x:c r="D82" s="114" t="str">
        <x:v>User Profile</x:v>
      </x:c>
      <x:c r="E82" s="114" t="str">
        <x:v>แสดงข้อมูลผู้ใช้ปัจจุบัน</x:v>
      </x:c>
      <x:c r="F82" s="114" t="str">
        <x:v>เข้าสู่ระบบแล้ว</x:v>
      </x:c>
      <x:c r="G82" s="114" t="str">
        <x:v>เปิด User Profile</x:v>
      </x:c>
      <x:c r="H82" s="114" t="str">
        <x:v>ทุก role</x:v>
      </x:c>
      <x:c r="I82" s="114" t="str">
        <x:v>ชื่อ username role และข้อมูลไซต์ถูกต้อง</x:v>
      </x:c>
      <x:c r="J82" s="114" t="str">
        <x:v>Functional</x:v>
      </x:c>
      <x:c r="K82" s="114" t="str">
        <x:v>High</x:v>
      </x:c>
      <x:c r="L82" s="114" t="str">
        <x:v>All</x:v>
      </x:c>
      <x:c r="M82" s="114" t="str">
        <x:v>UAT</x:v>
      </x:c>
      <x:c r="N82" s="114" t="str"/>
      <x:c r="O82" s="114" t="str">
        <x:v>Not Run</x:v>
      </x:c>
      <x:c r="P82" s="114" t="str"/>
      <x:c r="Q82" s="114" t="str"/>
      <x:c r="R82" s="148" t="str"/>
      <x:c r="S82" s="114" t="str"/>
      <x:c r="T82" s="115" t="str"/>
    </x:row>
    <x:row r="83" ht="58" customHeight="1">
      <x:c r="A83" s="113" t="str">
        <x:v>Yes</x:v>
      </x:c>
      <x:c r="B83" s="114" t="str">
        <x:v>TC-USR-002</x:v>
      </x:c>
      <x:c r="C83" s="114" t="str">
        <x:v>REQ-PROFILE-01</x:v>
      </x:c>
      <x:c r="D83" s="114" t="str">
        <x:v>User Profile</x:v>
      </x:c>
      <x:c r="E83" s="114" t="str">
        <x:v>จำนวนไซต์ใน Profile ถูกต้อง</x:v>
      </x:c>
      <x:c r="F83" s="114" t="str">
        <x:v>ผู้ใช้มีสิทธิ์ 2 ไซต์</x:v>
      </x:c>
      <x:c r="G83" s="114" t="str">
        <x:v>เปิด Profile และเทียบกับหน้าเลือกไซต์</x:v>
      </x:c>
      <x:c r="H83" s="114" t="str">
        <x:v>engineer</x:v>
      </x:c>
      <x:c r="I83" s="114" t="str">
        <x:v>จำนวนและรายชื่อไซต์ตรงกัน</x:v>
      </x:c>
      <x:c r="J83" s="114" t="str">
        <x:v>Integration</x:v>
      </x:c>
      <x:c r="K83" s="114" t="str">
        <x:v>Medium</x:v>
      </x:c>
      <x:c r="L83" s="114" t="str">
        <x:v>Engineer</x:v>
      </x:c>
      <x:c r="M83" s="114" t="str">
        <x:v>UAT</x:v>
      </x:c>
      <x:c r="N83" s="114" t="str"/>
      <x:c r="O83" s="114" t="str">
        <x:v>Not Run</x:v>
      </x:c>
      <x:c r="P83" s="114" t="str"/>
      <x:c r="Q83" s="114" t="str"/>
      <x:c r="R83" s="148" t="str"/>
      <x:c r="S83" s="114" t="str"/>
      <x:c r="T83" s="115" t="str"/>
    </x:row>
    <x:row r="84" ht="58" customHeight="1">
      <x:c r="A84" s="113" t="str">
        <x:v>Yes</x:v>
      </x:c>
      <x:c r="B84" s="114" t="str">
        <x:v>TC-USR-003</x:v>
      </x:c>
      <x:c r="C84" s="114" t="str">
        <x:v>REQ-PROFILE-02</x:v>
      </x:c>
      <x:c r="D84" s="114" t="str">
        <x:v>User Profile</x:v>
      </x:c>
      <x:c r="E84" s="114" t="str">
        <x:v>Logout จากหน้า Profile</x:v>
      </x:c>
      <x:c r="F84" s="114" t="str">
        <x:v>อยู่หน้า Profile</x:v>
      </x:c>
      <x:c r="G84" s="114" t="str">
        <x:v>กด Logout</x:v>
      </x:c>
      <x:c r="H84" s="114" t="str">
        <x:v>-</x:v>
      </x:c>
      <x:c r="I84" s="114" t="str">
        <x:v>ออกจากระบบและกลับ Login</x:v>
      </x:c>
      <x:c r="J84" s="114" t="str">
        <x:v>Regression</x:v>
      </x:c>
      <x:c r="K84" s="114" t="str">
        <x:v>High</x:v>
      </x:c>
      <x:c r="L84" s="114" t="str">
        <x:v>All</x:v>
      </x:c>
      <x:c r="M84" s="114" t="str">
        <x:v>UAT</x:v>
      </x:c>
      <x:c r="N84" s="114" t="str"/>
      <x:c r="O84" s="114" t="str">
        <x:v>Not Run</x:v>
      </x:c>
      <x:c r="P84" s="114" t="str"/>
      <x:c r="Q84" s="114" t="str"/>
      <x:c r="R84" s="148" t="str"/>
      <x:c r="S84" s="114" t="str"/>
      <x:c r="T84" s="115" t="str"/>
    </x:row>
    <x:row r="85" ht="58" customHeight="1">
      <x:c r="A85" s="113" t="str">
        <x:v>Yes</x:v>
      </x:c>
      <x:c r="B85" s="114" t="str">
        <x:v>TC-USR-004</x:v>
      </x:c>
      <x:c r="C85" s="114" t="str">
        <x:v>REQ-PROFILE-02</x:v>
      </x:c>
      <x:c r="D85" s="114" t="str">
        <x:v>User Profile</x:v>
      </x:c>
      <x:c r="E85" s="114" t="str">
        <x:v>กลับหน้าเลือกไซต์จาก Sidebar</x:v>
      </x:c>
      <x:c r="F85" s="114" t="str">
        <x:v>อยู่หน้าใดก็ได้ในไซต์</x:v>
      </x:c>
      <x:c r="G85" s="114" t="str">
        <x:v>กด 'กลับสู่หน้าเลือกไซต์'</x:v>
      </x:c>
      <x:c r="H85" s="114" t="str">
        <x:v>-</x:v>
      </x:c>
      <x:c r="I85" s="114" t="str">
        <x:v>กลับหน้ารวมไซต์และ session ยังอยู่</x:v>
      </x:c>
      <x:c r="J85" s="114" t="str">
        <x:v>Regression</x:v>
      </x:c>
      <x:c r="K85" s="114" t="str">
        <x:v>High</x:v>
      </x:c>
      <x:c r="L85" s="114" t="str">
        <x:v>All</x:v>
      </x:c>
      <x:c r="M85" s="114" t="str">
        <x:v>UAT</x:v>
      </x:c>
      <x:c r="N85" s="114" t="str"/>
      <x:c r="O85" s="114" t="str">
        <x:v>Not Run</x:v>
      </x:c>
      <x:c r="P85" s="114" t="str"/>
      <x:c r="Q85" s="114" t="str"/>
      <x:c r="R85" s="148" t="str"/>
      <x:c r="S85" s="114" t="str"/>
      <x:c r="T85" s="115" t="str"/>
    </x:row>
    <x:row r="86" ht="58" customHeight="1">
      <x:c r="A86" s="113" t="str">
        <x:v>Yes</x:v>
      </x:c>
      <x:c r="B86" s="114" t="str">
        <x:v>TC-UI-001</x:v>
      </x:c>
      <x:c r="C86" s="114" t="str">
        <x:v>REQ-UI-01</x:v>
      </x:c>
      <x:c r="D86" s="114" t="str">
        <x:v>UI/Responsive</x:v>
      </x:c>
      <x:c r="E86" s="114" t="str">
        <x:v>ใช้งานบนมือถือ 390px</x:v>
      </x:c>
      <x:c r="F86" s="114" t="str">
        <x:v>เปิดระบบด้วย viewport 390x844</x:v>
      </x:c>
      <x:c r="G86" s="114" t="str">
        <x:v>ตรวจ Login, Dashboard, รายการ และฟอร์มหลัก</x:v>
      </x:c>
      <x:c r="H86" s="114" t="str">
        <x:v>390x844</x:v>
      </x:c>
      <x:c r="I86" s="114" t="str">
        <x:v>ไม่มีข้อความล้น ปุ่มกดได้ และตารางเลื่อนได้</x:v>
      </x:c>
      <x:c r="J86" s="114" t="str">
        <x:v>Compatibility</x:v>
      </x:c>
      <x:c r="K86" s="114" t="str">
        <x:v>High</x:v>
      </x:c>
      <x:c r="L86" s="114" t="str">
        <x:v>All</x:v>
      </x:c>
      <x:c r="M86" s="114" t="str">
        <x:v>UAT</x:v>
      </x:c>
      <x:c r="N86" s="114" t="str"/>
      <x:c r="O86" s="114" t="str">
        <x:v>Not Run</x:v>
      </x:c>
      <x:c r="P86" s="114" t="str"/>
      <x:c r="Q86" s="114" t="str"/>
      <x:c r="R86" s="148" t="str"/>
      <x:c r="S86" s="114" t="str"/>
      <x:c r="T86" s="115" t="str"/>
    </x:row>
    <x:row r="87" ht="58" customHeight="1">
      <x:c r="A87" s="113" t="str">
        <x:v>Yes</x:v>
      </x:c>
      <x:c r="B87" s="114" t="str">
        <x:v>TC-UI-002</x:v>
      </x:c>
      <x:c r="C87" s="114" t="str">
        <x:v>REQ-UI-01</x:v>
      </x:c>
      <x:c r="D87" s="114" t="str">
        <x:v>UI/Responsive</x:v>
      </x:c>
      <x:c r="E87" s="114" t="str">
        <x:v>ใช้งานบน Desktop 1280px</x:v>
      </x:c>
      <x:c r="F87" s="114" t="str">
        <x:v>เปิดระบบด้วย viewport 1280x720</x:v>
      </x:c>
      <x:c r="G87" s="114" t="str">
        <x:v>ตรวจทุกเมนูหลัก</x:v>
      </x:c>
      <x:c r="H87" s="114" t="str">
        <x:v>1280x720</x:v>
      </x:c>
      <x:c r="I87" s="114" t="str">
        <x:v>เนื้อหาไม่ทับ Sidebar และอ่านได้</x:v>
      </x:c>
      <x:c r="J87" s="114" t="str">
        <x:v>Compatibility</x:v>
      </x:c>
      <x:c r="K87" s="114" t="str">
        <x:v>Medium</x:v>
      </x:c>
      <x:c r="L87" s="114" t="str">
        <x:v>All</x:v>
      </x:c>
      <x:c r="M87" s="114" t="str">
        <x:v>UAT</x:v>
      </x:c>
      <x:c r="N87" s="114" t="str"/>
      <x:c r="O87" s="114" t="str">
        <x:v>Not Run</x:v>
      </x:c>
      <x:c r="P87" s="114" t="str"/>
      <x:c r="Q87" s="114" t="str"/>
      <x:c r="R87" s="148" t="str"/>
      <x:c r="S87" s="114" t="str"/>
      <x:c r="T87" s="115" t="str"/>
    </x:row>
    <x:row r="88" ht="58" customHeight="1">
      <x:c r="A88" s="113" t="str">
        <x:v>Yes</x:v>
      </x:c>
      <x:c r="B88" s="114" t="str">
        <x:v>TC-UI-003</x:v>
      </x:c>
      <x:c r="C88" s="114" t="str">
        <x:v>REQ-UI-01</x:v>
      </x:c>
      <x:c r="D88" s="114" t="str">
        <x:v>UI/Responsive</x:v>
      </x:c>
      <x:c r="E88" s="114" t="str">
        <x:v>ใช้งานบนจอใหญ่ 1920px</x:v>
      </x:c>
      <x:c r="F88" s="114" t="str">
        <x:v>เปิดระบบด้วย viewport 1920x1080</x:v>
      </x:c>
      <x:c r="G88" s="114" t="str">
        <x:v>ตรวจ Dashboard และหน้ารายการ</x:v>
      </x:c>
      <x:c r="H88" s="114" t="str">
        <x:v>1920x1080</x:v>
      </x:c>
      <x:c r="I88" s="114" t="str">
        <x:v>ฟอนต์และระยะห่างเหมาะสม ไม่ดูเล็กเกินไป</x:v>
      </x:c>
      <x:c r="J88" s="114" t="str">
        <x:v>Compatibility</x:v>
      </x:c>
      <x:c r="K88" s="114" t="str">
        <x:v>High</x:v>
      </x:c>
      <x:c r="L88" s="114" t="str">
        <x:v>All</x:v>
      </x:c>
      <x:c r="M88" s="114" t="str">
        <x:v>UAT</x:v>
      </x:c>
      <x:c r="N88" s="114" t="str"/>
      <x:c r="O88" s="114" t="str">
        <x:v>Not Run</x:v>
      </x:c>
      <x:c r="P88" s="114" t="str"/>
      <x:c r="Q88" s="114" t="str"/>
      <x:c r="R88" s="148" t="str"/>
      <x:c r="S88" s="114" t="str"/>
      <x:c r="T88" s="115" t="str"/>
    </x:row>
    <x:row r="89" ht="58" customHeight="1">
      <x:c r="A89" s="113" t="str">
        <x:v>Yes</x:v>
      </x:c>
      <x:c r="B89" s="114" t="str">
        <x:v>TC-UI-004</x:v>
      </x:c>
      <x:c r="C89" s="114" t="str">
        <x:v>REQ-UI-02</x:v>
      </x:c>
      <x:c r="D89" s="114" t="str">
        <x:v>UI/Responsive</x:v>
      </x:c>
      <x:c r="E89" s="114" t="str">
        <x:v>ข้อความ paragraph อ่านง่าย</x:v>
      </x:c>
      <x:c r="F89" s="114" t="str">
        <x:v>เปิดหน้าที่มีข้อความ &lt;p&gt;</x:v>
      </x:c>
      <x:c r="G89" s="114" t="str">
        <x:v>ตรวจสายตาและ DevTools computed style</x:v>
      </x:c>
      <x:c r="H89" s="114" t="str">
        <x:v>ทุกหน้าหลัก</x:v>
      </x:c>
      <x:c r="I89" s="114" t="str">
        <x:v>ขนาดตัวอักษรไม่ต่ำกว่ามาตรฐานที่กำหนดและ contrast อ่านง่าย</x:v>
      </x:c>
      <x:c r="J89" s="114" t="str">
        <x:v>UI/UX</x:v>
      </x:c>
      <x:c r="K89" s="114" t="str">
        <x:v>High</x:v>
      </x:c>
      <x:c r="L89" s="114" t="str">
        <x:v>All</x:v>
      </x:c>
      <x:c r="M89" s="114" t="str">
        <x:v>UAT</x:v>
      </x:c>
      <x:c r="N89" s="114" t="str"/>
      <x:c r="O89" s="114" t="str">
        <x:v>Not Run</x:v>
      </x:c>
      <x:c r="P89" s="114" t="str"/>
      <x:c r="Q89" s="114" t="str"/>
      <x:c r="R89" s="148" t="str"/>
      <x:c r="S89" s="114" t="str"/>
      <x:c r="T89" s="115" t="str"/>
    </x:row>
    <x:row r="90" ht="58" customHeight="1">
      <x:c r="A90" s="113" t="str">
        <x:v>Yes</x:v>
      </x:c>
      <x:c r="B90" s="114" t="str">
        <x:v>TC-UI-005</x:v>
      </x:c>
      <x:c r="C90" s="114" t="str">
        <x:v>REQ-UI-02</x:v>
      </x:c>
      <x:c r="D90" s="114" t="str">
        <x:v>UI/Responsive</x:v>
      </x:c>
      <x:c r="E90" s="114" t="str">
        <x:v>ข้อความและปุ่มไม่มีถ้อยคำ placeholder/AI</x:v>
      </x:c>
      <x:c r="F90" s="114" t="str">
        <x:v>มีข้อมูลทุกหน้าหลัก</x:v>
      </x:c>
      <x:c r="G90" s="114" t="str">
        <x:v>ตรวจ copy ทั้งระบบ</x:v>
      </x:c>
      <x:c r="H90" s="114" t="str">
        <x:v>ไทย/อังกฤษ</x:v>
      </x:c>
      <x:c r="I90" s="114" t="str">
        <x:v>ถ้อยคำเป็นภาษาธุรกิจ สั้น ชัด และไม่มีข้อความทดลอง</x:v>
      </x:c>
      <x:c r="J90" s="114" t="str">
        <x:v>UI/UX</x:v>
      </x:c>
      <x:c r="K90" s="114" t="str">
        <x:v>Medium</x:v>
      </x:c>
      <x:c r="L90" s="114" t="str">
        <x:v>All</x:v>
      </x:c>
      <x:c r="M90" s="114" t="str">
        <x:v>UAT</x:v>
      </x:c>
      <x:c r="N90" s="114" t="str"/>
      <x:c r="O90" s="114" t="str">
        <x:v>Not Run</x:v>
      </x:c>
      <x:c r="P90" s="114" t="str"/>
      <x:c r="Q90" s="114" t="str"/>
      <x:c r="R90" s="148" t="str"/>
      <x:c r="S90" s="114" t="str"/>
      <x:c r="T90" s="115" t="str"/>
    </x:row>
    <x:row r="91" ht="58" customHeight="1">
      <x:c r="A91" s="113" t="str">
        <x:v>Yes</x:v>
      </x:c>
      <x:c r="B91" s="114" t="str">
        <x:v>TC-UI-006</x:v>
      </x:c>
      <x:c r="C91" s="114" t="str">
        <x:v>REQ-UI-02</x:v>
      </x:c>
      <x:c r="D91" s="114" t="str">
        <x:v>UI/Responsive</x:v>
      </x:c>
      <x:c r="E91" s="114" t="str">
        <x:v>Keyboard navigation และ focus</x:v>
      </x:c>
      <x:c r="F91" s="114" t="str">
        <x:v>เปิดระบบบน Desktop</x:v>
      </x:c>
      <x:c r="G91" s="114" t="str">
        <x:v>ใช้ Tab/Shift+Tab/Enter ผ่าน Login และฟอร์ม</x:v>
      </x:c>
      <x:c r="H91" s="114" t="str">
        <x:v>keyboard only</x:v>
      </x:c>
      <x:c r="I91" s="114" t="str">
        <x:v>focus มองเห็น ลำดับสมเหตุผล และปุ่มทำงาน</x:v>
      </x:c>
      <x:c r="J91" s="114" t="str">
        <x:v>UI/UX</x:v>
      </x:c>
      <x:c r="K91" s="114" t="str">
        <x:v>Medium</x:v>
      </x:c>
      <x:c r="L91" s="114" t="str">
        <x:v>All</x:v>
      </x:c>
      <x:c r="M91" s="114" t="str">
        <x:v>UAT</x:v>
      </x:c>
      <x:c r="N91" s="114" t="str"/>
      <x:c r="O91" s="114" t="str">
        <x:v>Not Run</x:v>
      </x:c>
      <x:c r="P91" s="114" t="str"/>
      <x:c r="Q91" s="114" t="str"/>
      <x:c r="R91" s="148" t="str"/>
      <x:c r="S91" s="114" t="str"/>
      <x:c r="T91" s="115" t="str"/>
    </x:row>
    <x:row r="92" ht="58" customHeight="1">
      <x:c r="A92" s="113" t="str">
        <x:v>Yes</x:v>
      </x:c>
      <x:c r="B92" s="114" t="str">
        <x:v>TC-SEC-001</x:v>
      </x:c>
      <x:c r="C92" s="114" t="str">
        <x:v>REQ-SEC-01</x:v>
      </x:c>
      <x:c r="D92" s="114" t="str">
        <x:v>Backend &amp; Security</x:v>
      </x:c>
      <x:c r="E92" s="114" t="str">
        <x:v>ผู้ไม่ Login อ่านตารางธุรกิจไม่ได้</x:v>
      </x:c>
      <x:c r="F92" s="114" t="str">
        <x:v>Supabase migration ถูกใช้แล้ว</x:v>
      </x:c>
      <x:c r="G92" s="114" t="str">
        <x:v>เรียก REST API โดยไม่มี user JWT</x:v>
      </x:c>
      <x:c r="H92" s="114" t="str">
        <x:v>anon request</x:v>
      </x:c>
      <x:c r="I92" s="114" t="str">
        <x:v>ถูกปฏิเสธตาม RLS</x:v>
      </x:c>
      <x:c r="J92" s="114" t="str">
        <x:v>Security</x:v>
      </x:c>
      <x:c r="K92" s="114" t="str">
        <x:v>Critical</x:v>
      </x:c>
      <x:c r="L92" s="114" t="str">
        <x:v>Anonymous</x:v>
      </x:c>
      <x:c r="M92" s="114" t="str">
        <x:v>Development</x:v>
      </x:c>
      <x:c r="N92" s="114" t="str"/>
      <x:c r="O92" s="114" t="str">
        <x:v>Not Run</x:v>
      </x:c>
      <x:c r="P92" s="114" t="str"/>
      <x:c r="Q92" s="114" t="str"/>
      <x:c r="R92" s="148" t="str"/>
      <x:c r="S92" s="114" t="str"/>
      <x:c r="T92" s="115" t="str"/>
    </x:row>
    <x:row r="93" ht="58" customHeight="1">
      <x:c r="A93" s="113" t="str">
        <x:v>Yes</x:v>
      </x:c>
      <x:c r="B93" s="114" t="str">
        <x:v>TC-SEC-002</x:v>
      </x:c>
      <x:c r="C93" s="114" t="str">
        <x:v>REQ-SEC-01</x:v>
      </x:c>
      <x:c r="D93" s="114" t="str">
        <x:v>Backend &amp; Security</x:v>
      </x:c>
      <x:c r="E93" s="114" t="str">
        <x:v>Admin เข้าถึงข้อมูลในสิทธิ์ที่กำหนด</x:v>
      </x:c>
      <x:c r="F93" s="114" t="str">
        <x:v>Login Supabase เป็น admin</x:v>
      </x:c>
      <x:c r="G93" s="114" t="str">
        <x:v>อ่าน/สร้าง/แก้ไขข้อมูลหลัก</x:v>
      </x:c>
      <x:c r="H93" s="114" t="str">
        <x:v>admin JWT</x:v>
      </x:c>
      <x:c r="I93" s="114" t="str">
        <x:v>คำขอสำเร็จตาม policy</x:v>
      </x:c>
      <x:c r="J93" s="114" t="str">
        <x:v>Security</x:v>
      </x:c>
      <x:c r="K93" s="114" t="str">
        <x:v>Critical</x:v>
      </x:c>
      <x:c r="L93" s="114" t="str">
        <x:v>Admin</x:v>
      </x:c>
      <x:c r="M93" s="114" t="str">
        <x:v>Development</x:v>
      </x:c>
      <x:c r="N93" s="114" t="str"/>
      <x:c r="O93" s="114" t="str">
        <x:v>Not Run</x:v>
      </x:c>
      <x:c r="P93" s="114" t="str"/>
      <x:c r="Q93" s="114" t="str"/>
      <x:c r="R93" s="148" t="str"/>
      <x:c r="S93" s="114" t="str"/>
      <x:c r="T93" s="115" t="str"/>
    </x:row>
    <x:row r="94" ht="58" customHeight="1">
      <x:c r="A94" s="113" t="str">
        <x:v>Yes</x:v>
      </x:c>
      <x:c r="B94" s="114" t="str">
        <x:v>TC-SEC-003</x:v>
      </x:c>
      <x:c r="C94" s="114" t="str">
        <x:v>REQ-SEC-01</x:v>
      </x:c>
      <x:c r="D94" s="114" t="str">
        <x:v>Backend &amp; Security</x:v>
      </x:c>
      <x:c r="E94" s="114" t="str">
        <x:v>Engineer เข้าถึงเฉพาะไซต์ที่ได้รับสิทธิ์</x:v>
      </x:c>
      <x:c r="F94" s="114" t="str">
        <x:v>Engineer ถูกผูก 2 ไซต์</x:v>
      </x:c>
      <x:c r="G94" s="114" t="str">
        <x:v>เรียกข้อมูลไซต์ที่มีและไม่มีสิทธิ์</x:v>
      </x:c>
      <x:c r="H94" s="114" t="str">
        <x:v>engineer JWT</x:v>
      </x:c>
      <x:c r="I94" s="114" t="str">
        <x:v>ไซต์ที่มีสิทธิ์สำเร็จ ไซต์อื่นถูกปฏิเสธ</x:v>
      </x:c>
      <x:c r="J94" s="114" t="str">
        <x:v>Security</x:v>
      </x:c>
      <x:c r="K94" s="114" t="str">
        <x:v>Critical</x:v>
      </x:c>
      <x:c r="L94" s="114" t="str">
        <x:v>Engineer</x:v>
      </x:c>
      <x:c r="M94" s="114" t="str">
        <x:v>Development</x:v>
      </x:c>
      <x:c r="N94" s="114" t="str"/>
      <x:c r="O94" s="114" t="str">
        <x:v>Not Run</x:v>
      </x:c>
      <x:c r="P94" s="114" t="str"/>
      <x:c r="Q94" s="114" t="str"/>
      <x:c r="R94" s="148" t="str"/>
      <x:c r="S94" s="114" t="str"/>
      <x:c r="T94" s="115" t="str"/>
    </x:row>
    <x:row r="95" ht="58" customHeight="1">
      <x:c r="A95" s="113" t="str">
        <x:v>Yes</x:v>
      </x:c>
      <x:c r="B95" s="114" t="str">
        <x:v>TC-SEC-004</x:v>
      </x:c>
      <x:c r="C95" s="114" t="str">
        <x:v>REQ-SEC-01</x:v>
      </x:c>
      <x:c r="D95" s="114" t="str">
        <x:v>Backend &amp; Security</x:v>
      </x:c>
      <x:c r="E95" s="114" t="str">
        <x:v>Viewer เขียนข้อมูลไม่ได้</x:v>
      </x:c>
      <x:c r="F95" s="114" t="str">
        <x:v>Login เป็น user</x:v>
      </x:c>
      <x:c r="G95" s="114" t="str">
        <x:v>ลอง insert/update/delete ตารางธุรกิจ</x:v>
      </x:c>
      <x:c r="H95" s="114" t="str">
        <x:v>viewer JWT</x:v>
      </x:c>
      <x:c r="I95" s="114" t="str">
        <x:v>ทุก write ถูกปฏิเสธ</x:v>
      </x:c>
      <x:c r="J95" s="114" t="str">
        <x:v>Security</x:v>
      </x:c>
      <x:c r="K95" s="114" t="str">
        <x:v>Critical</x:v>
      </x:c>
      <x:c r="L95" s="114" t="str">
        <x:v>Viewer</x:v>
      </x:c>
      <x:c r="M95" s="114" t="str">
        <x:v>Development</x:v>
      </x:c>
      <x:c r="N95" s="114" t="str"/>
      <x:c r="O95" s="114" t="str">
        <x:v>Not Run</x:v>
      </x:c>
      <x:c r="P95" s="114" t="str"/>
      <x:c r="Q95" s="114" t="str"/>
      <x:c r="R95" s="148" t="str"/>
      <x:c r="S95" s="114" t="str"/>
      <x:c r="T95" s="115" t="str"/>
    </x:row>
    <x:row r="96" ht="58" customHeight="1">
      <x:c r="A96" s="113" t="str">
        <x:v>Yes</x:v>
      </x:c>
      <x:c r="B96" s="114" t="str">
        <x:v>TC-SEC-005</x:v>
      </x:c>
      <x:c r="C96" s="114" t="str">
        <x:v>REQ-SEC-02</x:v>
      </x:c>
      <x:c r="D96" s="114" t="str">
        <x:v>Backend &amp; Security</x:v>
      </x:c>
      <x:c r="E96" s="114" t="str">
        <x:v>เฉพาะ Admin อนุมัติ/ปฏิเสธรายงาน</x:v>
      </x:c>
      <x:c r="F96" s="114" t="str">
        <x:v>มี Submitted report</x:v>
      </x:c>
      <x:c r="G96" s="114" t="str">
        <x:v>ลอง approve ด้วย engineer และ admin</x:v>
      </x:c>
      <x:c r="H96" s="114" t="str">
        <x:v>2 JWT roles</x:v>
      </x:c>
      <x:c r="I96" s="114" t="str">
        <x:v>Engineer ถูกปฏิเสธ Admin สำเร็จ</x:v>
      </x:c>
      <x:c r="J96" s="114" t="str">
        <x:v>Security</x:v>
      </x:c>
      <x:c r="K96" s="114" t="str">
        <x:v>Critical</x:v>
      </x:c>
      <x:c r="L96" s="114" t="str">
        <x:v>Admin/Engineer</x:v>
      </x:c>
      <x:c r="M96" s="114" t="str">
        <x:v>Development</x:v>
      </x:c>
      <x:c r="N96" s="114" t="str"/>
      <x:c r="O96" s="114" t="str">
        <x:v>Not Run</x:v>
      </x:c>
      <x:c r="P96" s="114" t="str"/>
      <x:c r="Q96" s="114" t="str"/>
      <x:c r="R96" s="148" t="str"/>
      <x:c r="S96" s="114" t="str"/>
      <x:c r="T96" s="115" t="str"/>
    </x:row>
    <x:row r="97" ht="58" customHeight="1">
      <x:c r="A97" s="113" t="str">
        <x:v>Yes</x:v>
      </x:c>
      <x:c r="B97" s="114" t="str">
        <x:v>TC-SEC-006</x:v>
      </x:c>
      <x:c r="C97" s="114" t="str">
        <x:v>REQ-SEC-02</x:v>
      </x:c>
      <x:c r="D97" s="114" t="str">
        <x:v>Backend &amp; Security</x:v>
      </x:c>
      <x:c r="E97" s="114" t="str">
        <x:v>Trigger สร้าง PM cycles ตามความถี่</x:v>
      </x:c>
      <x:c r="F97" s="114" t="str">
        <x:v>ใช้ฐานข้อมูลทดสอบ</x:v>
      </x:c>
      <x:c r="G97" s="114" t="str">
        <x:v>insert plan ความถี่ 1/2/3 เดือน</x:v>
      </x:c>
      <x:c r="H97" s="114" t="str">
        <x:v>3 plans</x:v>
      </x:c>
      <x:c r="I97" s="114" t="str">
        <x:v>จำนวนรอบและ due date ถูกต้อง</x:v>
      </x:c>
      <x:c r="J97" s="114" t="str">
        <x:v>Integration</x:v>
      </x:c>
      <x:c r="K97" s="114" t="str">
        <x:v>Critical</x:v>
      </x:c>
      <x:c r="L97" s="114" t="str">
        <x:v>System</x:v>
      </x:c>
      <x:c r="M97" s="114" t="str">
        <x:v>Development</x:v>
      </x:c>
      <x:c r="N97" s="114" t="str"/>
      <x:c r="O97" s="114" t="str">
        <x:v>Not Run</x:v>
      </x:c>
      <x:c r="P97" s="114" t="str"/>
      <x:c r="Q97" s="114" t="str"/>
      <x:c r="R97" s="148" t="str"/>
      <x:c r="S97" s="114" t="str"/>
      <x:c r="T97" s="115" t="str"/>
    </x:row>
    <x:row r="98" ht="58" customHeight="1">
      <x:c r="A98" s="113" t="str">
        <x:v>Yes</x:v>
      </x:c>
      <x:c r="B98" s="114" t="str">
        <x:v>TC-SEC-007</x:v>
      </x:c>
      <x:c r="C98" s="114" t="str">
        <x:v>REQ-SEC-02</x:v>
      </x:c>
      <x:c r="D98" s="114" t="str">
        <x:v>Backend &amp; Security</x:v>
      </x:c>
      <x:c r="E98" s="114" t="str">
        <x:v>Trigger ปิด Work Order เมื่อ Approve</x:v>
      </x:c>
      <x:c r="F98" s="114" t="str">
        <x:v>มี Submitted report เชื่อม WO</x:v>
      </x:c>
      <x:c r="G98" s="114" t="str">
        <x:v>เปลี่ยน report เป็น Approved</x:v>
      </x:c>
      <x:c r="H98" s="114" t="str">
        <x:v>linked records</x:v>
      </x:c>
      <x:c r="I98" s="114" t="str">
        <x:v>WO เป็น Closed และ timestamps ครบแบบ atomic</x:v>
      </x:c>
      <x:c r="J98" s="114" t="str">
        <x:v>Integration</x:v>
      </x:c>
      <x:c r="K98" s="114" t="str">
        <x:v>Critical</x:v>
      </x:c>
      <x:c r="L98" s="114" t="str">
        <x:v>System</x:v>
      </x:c>
      <x:c r="M98" s="114" t="str">
        <x:v>Development</x:v>
      </x:c>
      <x:c r="N98" s="114" t="str"/>
      <x:c r="O98" s="114" t="str">
        <x:v>Not Run</x:v>
      </x:c>
      <x:c r="P98" s="114" t="str"/>
      <x:c r="Q98" s="114" t="str"/>
      <x:c r="R98" s="148" t="str"/>
      <x:c r="S98" s="114" t="str"/>
      <x:c r="T98" s="115" t="str"/>
    </x:row>
    <x:row r="99" ht="58" customHeight="1">
      <x:c r="A99" s="113" t="str">
        <x:v>Yes</x:v>
      </x:c>
      <x:c r="B99" s="114" t="str">
        <x:v>TC-SEC-008</x:v>
      </x:c>
      <x:c r="C99" s="114" t="str">
        <x:v>REQ-SEC-02</x:v>
      </x:c>
      <x:c r="D99" s="114" t="str">
        <x:v>Backend &amp; Security</x:v>
      </x:c>
      <x:c r="E99" s="114" t="str">
        <x:v>Trigger สร้าง Repair Request เมื่อ Abnormal</x:v>
      </x:c>
      <x:c r="F99" s="114" t="str">
        <x:v>มี report ผล Abnormal</x:v>
      </x:c>
      <x:c r="G99" s="114" t="str">
        <x:v>บันทึก/อนุมัติตาม flow</x:v>
      </x:c>
      <x:c r="H99" s="114" t="str">
        <x:v>abnormal report</x:v>
      </x:c>
      <x:c r="I99" s="114" t="str">
        <x:v>เกิด repair request เดียวและ foreign key ถูกต้อง</x:v>
      </x:c>
      <x:c r="J99" s="114" t="str">
        <x:v>Integration</x:v>
      </x:c>
      <x:c r="K99" s="114" t="str">
        <x:v>Critical</x:v>
      </x:c>
      <x:c r="L99" s="114" t="str">
        <x:v>System</x:v>
      </x:c>
      <x:c r="M99" s="114" t="str">
        <x:v>Development</x:v>
      </x:c>
      <x:c r="N99" s="114" t="str"/>
      <x:c r="O99" s="114" t="str">
        <x:v>Not Run</x:v>
      </x:c>
      <x:c r="P99" s="114" t="str"/>
      <x:c r="Q99" s="114" t="str"/>
      <x:c r="R99" s="148" t="str"/>
      <x:c r="S99" s="114" t="str"/>
      <x:c r="T99" s="115" t="str"/>
    </x:row>
    <x:row r="100" ht="58" customHeight="1">
      <x:c r="A100" s="113" t="str">
        <x:v>Yes</x:v>
      </x:c>
      <x:c r="B100" s="114" t="str">
        <x:v>TC-SEC-009</x:v>
      </x:c>
      <x:c r="C100" s="114" t="str">
        <x:v>REQ-SEC-03</x:v>
      </x:c>
      <x:c r="D100" s="114" t="str">
        <x:v>Backend &amp; Security</x:v>
      </x:c>
      <x:c r="E100" s="114" t="str">
        <x:v>Storage bucket เป็น Private</x:v>
      </x:c>
      <x:c r="F100" s="114" t="str">
        <x:v>ตั้งค่า Supabase Storage แล้ว</x:v>
      </x:c>
      <x:c r="G100" s="114" t="str">
        <x:v>เรียก URL object โดยไม่ signed URL</x:v>
      </x:c>
      <x:c r="H100" s="114" t="str">
        <x:v>service-report-photos</x:v>
      </x:c>
      <x:c r="I100" s="114" t="str">
        <x:v>ดาวน์โหลดไม่ได้หากไม่มีสิทธิ์</x:v>
      </x:c>
      <x:c r="J100" s="114" t="str">
        <x:v>Security</x:v>
      </x:c>
      <x:c r="K100" s="114" t="str">
        <x:v>Critical</x:v>
      </x:c>
      <x:c r="L100" s="114" t="str">
        <x:v>Anonymous</x:v>
      </x:c>
      <x:c r="M100" s="114" t="str">
        <x:v>Development</x:v>
      </x:c>
      <x:c r="N100" s="114" t="str"/>
      <x:c r="O100" s="114" t="str">
        <x:v>Not Run</x:v>
      </x:c>
      <x:c r="P100" s="114" t="str"/>
      <x:c r="Q100" s="114" t="str"/>
      <x:c r="R100" s="148" t="str"/>
      <x:c r="S100" s="114" t="str"/>
      <x:c r="T100" s="115" t="str"/>
    </x:row>
    <x:row r="101" ht="58" customHeight="1">
      <x:c r="A101" s="113" t="str">
        <x:v>Yes</x:v>
      </x:c>
      <x:c r="B101" s="114" t="str">
        <x:v>TC-SEC-010</x:v>
      </x:c>
      <x:c r="C101" s="114" t="str">
        <x:v>REQ-SEC-03</x:v>
      </x:c>
      <x:c r="D101" s="114" t="str">
        <x:v>Backend &amp; Security</x:v>
      </x:c>
      <x:c r="E101" s="114" t="str">
        <x:v>Signed URL หมดอายุ</x:v>
      </x:c>
      <x:c r="F101" s="114" t="str">
        <x:v>มีไฟล์ private</x:v>
      </x:c>
      <x:c r="G101" s="114" t="str">
        <x:v>สร้าง signed URL รอหมดอายุแล้วเรียกซ้ำ</x:v>
      </x:c>
      <x:c r="H101" s="114" t="str">
        <x:v>short expiry</x:v>
      </x:c>
      <x:c r="I101" s="114" t="str">
        <x:v>ก่อนหมดอายุเปิดได้ หลังหมดอายุถูกปฏิเสธ</x:v>
      </x:c>
      <x:c r="J101" s="114" t="str">
        <x:v>Security</x:v>
      </x:c>
      <x:c r="K101" s="114" t="str">
        <x:v>High</x:v>
      </x:c>
      <x:c r="L101" s="114" t="str">
        <x:v>All</x:v>
      </x:c>
      <x:c r="M101" s="114" t="str">
        <x:v>Development</x:v>
      </x:c>
      <x:c r="N101" s="114" t="str"/>
      <x:c r="O101" s="114" t="str">
        <x:v>Not Run</x:v>
      </x:c>
      <x:c r="P101" s="114" t="str"/>
      <x:c r="Q101" s="114" t="str"/>
      <x:c r="R101" s="148" t="str"/>
      <x:c r="S101" s="114" t="str"/>
      <x:c r="T101" s="115" t="str"/>
    </x:row>
    <x:row r="102" ht="58" customHeight="1">
      <x:c r="A102" s="113" t="str">
        <x:v>Yes</x:v>
      </x:c>
      <x:c r="B102" s="114" t="str">
        <x:v>TC-SEC-011</x:v>
      </x:c>
      <x:c r="C102" s="114" t="str">
        <x:v>REQ-SEC-03</x:v>
      </x:c>
      <x:c r="D102" s="114" t="str">
        <x:v>Backend &amp; Security</x:v>
      </x:c>
      <x:c r="E102" s="114" t="str">
        <x:v>Frontend ไม่มี service_role key</x:v>
      </x:c>
      <x:c r="F102" s="114" t="str">
        <x:v>มี production build</x:v>
      </x:c>
      <x:c r="G102" s="114" t="str">
        <x:v>ค้นหา bundle และ environment config</x:v>
      </x:c>
      <x:c r="H102" s="114" t="str">
        <x:v>dist assets</x:v>
      </x:c>
      <x:c r="I102" s="114" t="str">
        <x:v>ไม่พบ secret/service_role key ใน client bundle</x:v>
      </x:c>
      <x:c r="J102" s="114" t="str">
        <x:v>Security</x:v>
      </x:c>
      <x:c r="K102" s="114" t="str">
        <x:v>Critical</x:v>
      </x:c>
      <x:c r="L102" s="114" t="str">
        <x:v>System</x:v>
      </x:c>
      <x:c r="M102" s="114" t="str">
        <x:v>Production Smoke</x:v>
      </x:c>
      <x:c r="N102" s="114" t="str"/>
      <x:c r="O102" s="114" t="str">
        <x:v>Not Run</x:v>
      </x:c>
      <x:c r="P102" s="114" t="str"/>
      <x:c r="Q102" s="114" t="str"/>
      <x:c r="R102" s="148" t="str"/>
      <x:c r="S102" s="114" t="str"/>
      <x:c r="T102" s="115" t="str"/>
    </x:row>
    <x:row r="103" ht="58" customHeight="1">
      <x:c r="A103" s="113" t="str">
        <x:v>Yes</x:v>
      </x:c>
      <x:c r="B103" s="114" t="str">
        <x:v>TC-DEP-001</x:v>
      </x:c>
      <x:c r="C103" s="114" t="str">
        <x:v>REQ-DEPLOY-01</x:v>
      </x:c>
      <x:c r="D103" s="114" t="str">
        <x:v>Build &amp; Deployment</x:v>
      </x:c>
      <x:c r="E103" s="114" t="str">
        <x:v>TypeScript/ESLint ผ่าน</x:v>
      </x:c>
      <x:c r="F103" s="114" t="str">
        <x:v>ติดตั้ง dependencies แล้ว</x:v>
      </x:c>
      <x:c r="G103" s="114" t="str">
        <x:v>รันคำสั่งตรวจโค้ดของโครงการ</x:v>
      </x:c>
      <x:c r="H103" s="114" t="str">
        <x:v>npm scripts</x:v>
      </x:c>
      <x:c r="I103" s="114" t="str">
        <x:v>จบด้วย exit code 0 และไม่มี error</x:v>
      </x:c>
      <x:c r="J103" s="114" t="str">
        <x:v>Regression</x:v>
      </x:c>
      <x:c r="K103" s="114" t="str">
        <x:v>High</x:v>
      </x:c>
      <x:c r="L103" s="114" t="str">
        <x:v>System</x:v>
      </x:c>
      <x:c r="M103" s="114" t="str">
        <x:v>Local</x:v>
      </x:c>
      <x:c r="N103" s="114" t="str"/>
      <x:c r="O103" s="114" t="str">
        <x:v>Not Run</x:v>
      </x:c>
      <x:c r="P103" s="114" t="str"/>
      <x:c r="Q103" s="114" t="str"/>
      <x:c r="R103" s="148" t="str"/>
      <x:c r="S103" s="114" t="str"/>
      <x:c r="T103" s="115" t="str"/>
    </x:row>
    <x:row r="104" ht="58" customHeight="1">
      <x:c r="A104" s="113" t="str">
        <x:v>Yes</x:v>
      </x:c>
      <x:c r="B104" s="114" t="str">
        <x:v>TC-DEP-002</x:v>
      </x:c>
      <x:c r="C104" s="114" t="str">
        <x:v>REQ-DEPLOY-01</x:v>
      </x:c>
      <x:c r="D104" s="114" t="str">
        <x:v>Build &amp; Deployment</x:v>
      </x:c>
      <x:c r="E104" s="114" t="str">
        <x:v>Automated tests ผ่านทั้งหมด</x:v>
      </x:c>
      <x:c r="F104" s="114" t="str">
        <x:v>ติดตั้ง dependencies แล้ว</x:v>
      </x:c>
      <x:c r="G104" s="114" t="str">
        <x:v>รัน test suite</x:v>
      </x:c>
      <x:c r="H104" s="114" t="str">
        <x:v>Vitest</x:v>
      </x:c>
      <x:c r="I104" s="114" t="str">
        <x:v>ทุก test ผ่าน ไม่มี unhandled error</x:v>
      </x:c>
      <x:c r="J104" s="114" t="str">
        <x:v>Regression</x:v>
      </x:c>
      <x:c r="K104" s="114" t="str">
        <x:v>Critical</x:v>
      </x:c>
      <x:c r="L104" s="114" t="str">
        <x:v>System</x:v>
      </x:c>
      <x:c r="M104" s="114" t="str">
        <x:v>Local</x:v>
      </x:c>
      <x:c r="N104" s="114" t="str"/>
      <x:c r="O104" s="114" t="str">
        <x:v>Not Run</x:v>
      </x:c>
      <x:c r="P104" s="114" t="str"/>
      <x:c r="Q104" s="114" t="str"/>
      <x:c r="R104" s="148" t="str"/>
      <x:c r="S104" s="114" t="str"/>
      <x:c r="T104" s="115" t="str"/>
    </x:row>
    <x:row r="105" ht="58" customHeight="1">
      <x:c r="A105" s="113" t="str">
        <x:v>Yes</x:v>
      </x:c>
      <x:c r="B105" s="114" t="str">
        <x:v>TC-DEP-003</x:v>
      </x:c>
      <x:c r="C105" s="114" t="str">
        <x:v>REQ-DEPLOY-01</x:v>
      </x:c>
      <x:c r="D105" s="114" t="str">
        <x:v>Build &amp; Deployment</x:v>
      </x:c>
      <x:c r="E105" s="114" t="str">
        <x:v>Production build ผ่าน</x:v>
      </x:c>
      <x:c r="F105" s="114" t="str">
        <x:v>ติดตั้ง dependencies แล้ว</x:v>
      </x:c>
      <x:c r="G105" s="114" t="str">
        <x:v>รัน npm run build</x:v>
      </x:c>
      <x:c r="H105" s="114" t="str">
        <x:v>Vite production</x:v>
      </x:c>
      <x:c r="I105" s="114" t="str">
        <x:v>สร้าง dist สำเร็จและ exit code 0</x:v>
      </x:c>
      <x:c r="J105" s="114" t="str">
        <x:v>Regression</x:v>
      </x:c>
      <x:c r="K105" s="114" t="str">
        <x:v>Critical</x:v>
      </x:c>
      <x:c r="L105" s="114" t="str">
        <x:v>System</x:v>
      </x:c>
      <x:c r="M105" s="114" t="str">
        <x:v>Local</x:v>
      </x:c>
      <x:c r="N105" s="114" t="str"/>
      <x:c r="O105" s="114" t="str">
        <x:v>Not Run</x:v>
      </x:c>
      <x:c r="P105" s="114" t="str"/>
      <x:c r="Q105" s="114" t="str"/>
      <x:c r="R105" s="148" t="str"/>
      <x:c r="S105" s="114" t="str"/>
      <x:c r="T105" s="115" t="str"/>
    </x:row>
    <x:row r="106" ht="58" customHeight="1">
      <x:c r="A106" s="113" t="str">
        <x:v>Yes</x:v>
      </x:c>
      <x:c r="B106" s="114" t="str">
        <x:v>TC-DEP-004</x:v>
      </x:c>
      <x:c r="C106" s="114" t="str">
        <x:v>REQ-DEPLOY-02</x:v>
      </x:c>
      <x:c r="D106" s="114" t="str">
        <x:v>Build &amp; Deployment</x:v>
      </x:c>
      <x:c r="E106" s="114" t="str">
        <x:v>Base path GitHub Pages ถูกต้อง</x:v>
      </x:c>
      <x:c r="F106" s="114" t="str">
        <x:v>มี dist จาก production build</x:v>
      </x:c>
      <x:c r="G106" s="114" t="str">
        <x:v>เปิดผ่าน /thaicon-cmms/ และ refresh deep link/hash</x:v>
      </x:c>
      <x:c r="H106" s="114" t="str">
        <x:v>GitHub Pages path</x:v>
      </x:c>
      <x:c r="I106" s="114" t="str">
        <x:v>assets โหลดครบ ไม่มี 404</x:v>
      </x:c>
      <x:c r="J106" s="114" t="str">
        <x:v>Compatibility</x:v>
      </x:c>
      <x:c r="K106" s="114" t="str">
        <x:v>Critical</x:v>
      </x:c>
      <x:c r="L106" s="114" t="str">
        <x:v>System</x:v>
      </x:c>
      <x:c r="M106" s="114" t="str">
        <x:v>Production Smoke</x:v>
      </x:c>
      <x:c r="N106" s="114" t="str"/>
      <x:c r="O106" s="114" t="str">
        <x:v>Not Run</x:v>
      </x:c>
      <x:c r="P106" s="114" t="str"/>
      <x:c r="Q106" s="114" t="str"/>
      <x:c r="R106" s="148" t="str"/>
      <x:c r="S106" s="114" t="str"/>
      <x:c r="T106" s="115" t="str"/>
    </x:row>
    <x:row r="107" ht="58" customHeight="1">
      <x:c r="A107" s="116" t="str">
        <x:v>Yes</x:v>
      </x:c>
      <x:c r="B107" s="117" t="str">
        <x:v>TC-DEP-005</x:v>
      </x:c>
      <x:c r="C107" s="117" t="str">
        <x:v>REQ-DEPLOY-02</x:v>
      </x:c>
      <x:c r="D107" s="117" t="str">
        <x:v>Build &amp; Deployment</x:v>
      </x:c>
      <x:c r="E107" s="117" t="str">
        <x:v>GitHub Actions Pages workflow สำเร็จ</x:v>
      </x:c>
      <x:c r="F107" s="117" t="str">
        <x:v>เปิด GitHub Pages และตั้ง source เป็น Actions</x:v>
      </x:c>
      <x:c r="G107" s="117" t="str">
        <x:v>push commit ที่อนุมัติแล้วและรอ workflow</x:v>
      </x:c>
      <x:c r="H107" s="117" t="str">
        <x:v>main branch</x:v>
      </x:c>
      <x:c r="I107" s="117" t="str">
        <x:v>Build/Upload/Deploy ผ่านและ URL ใช้งานได้</x:v>
      </x:c>
      <x:c r="J107" s="117" t="str">
        <x:v>Integration</x:v>
      </x:c>
      <x:c r="K107" s="117" t="str">
        <x:v>Critical</x:v>
      </x:c>
      <x:c r="L107" s="117" t="str">
        <x:v>System</x:v>
      </x:c>
      <x:c r="M107" s="117" t="str">
        <x:v>Production Smoke</x:v>
      </x:c>
      <x:c r="N107" s="117" t="str"/>
      <x:c r="O107" s="117" t="str">
        <x:v>Not Run</x:v>
      </x:c>
      <x:c r="P107" s="117" t="str"/>
      <x:c r="Q107" s="117" t="str"/>
      <x:c r="R107" s="149" t="str"/>
      <x:c r="S107" s="117" t="str"/>
      <x:c r="T107" s="118" t="str"/>
    </x:row>
  </x:sheetData>
  <x:mergeCells>
    <x:mergeCell ref="A1:T1"/>
    <x:mergeCell ref="A2:T2"/>
    <x:mergeCell ref="A3:T3"/>
  </x:mergeCells>
  <x:conditionalFormatting sqref="O6:O107">
    <x:cfRule type="containsText" dxfId="10" priority="1" operator="containsText" text="Pass"/>
    <x:cfRule type="containsText" dxfId="11" priority="2" operator="containsText" text="Fail"/>
    <x:cfRule type="containsText" dxfId="12" priority="3" operator="containsText" text="Blocked"/>
    <x:cfRule type="containsText" dxfId="13" priority="4" operator="containsText" text="In Progress"/>
    <x:cfRule type="containsText" dxfId="14" priority="5" operator="containsText" text="Not Run"/>
  </x:conditionalFormatting>
  <x:conditionalFormatting sqref="K6:K107">
    <x:cfRule type="containsText" dxfId="15" priority="6" operator="containsText" text="Critical"/>
    <x:cfRule type="containsText" dxfId="16" priority="7" operator="containsText" text="High"/>
  </x:conditionalFormatting>
  <x:conditionalFormatting sqref="A6:A107">
    <x:cfRule type="containsText" dxfId="17" priority="8" operator="containsText" text="Yes"/>
  </x:conditionalFormatting>
  <x:dataValidations count="6">
    <x:dataValidation type="list" sqref="A6:A107">
      <x:formula1>"Yes,No"</x:formula1>
    </x:dataValidation>
    <x:dataValidation type="list" sqref="J6:J107">
      <x:formula1>"Functional,Negative,Security,Integration,UI/UX,Regression,Performance,Compatibility"</x:formula1>
    </x:dataValidation>
    <x:dataValidation type="list" sqref="K6:K107">
      <x:formula1>"Critical,High,Medium,Low"</x:formula1>
    </x:dataValidation>
    <x:dataValidation type="list" sqref="L6:L107">
      <x:formula1>"Admin,Engineer,Viewer,Admin/Engineer,All,Anonymous,System"</x:formula1>
    </x:dataValidation>
    <x:dataValidation type="list" sqref="M6:M107">
      <x:formula1>"Local,Development,UAT,Production Smoke"</x:formula1>
    </x:dataValidation>
    <x:dataValidation type="list" sqref="O6:O107">
      <x:formula1>"Not Run,In Progress,Pass,Fail,Blocked,N/A"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6ca2ad780a40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48" hidden="0" customWidth="1"/>
    <x:col min="4" max="4" width="30" hidden="0" customWidth="1"/>
    <x:col min="5" max="5" width="12" hidden="0" customWidth="1"/>
    <x:col min="6" max="6" width="15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18" hidden="0" customWidth="1"/>
  </x:cols>
  <x:sheetData>
    <x:row r="1" ht="38" customHeight="1">
      <x:c r="A1" s="4" t="str">
        <x:v>Requirements Traceability Matrix (RTM)</x:v>
      </x:c>
      <x:c r="B1" s="4" t="str">
        <x:v>Requirements Traceability Matrix (RTM)</x:v>
      </x:c>
      <x:c r="C1" s="4" t="str">
        <x:v>Requirements Traceability Matrix (RTM)</x:v>
      </x:c>
      <x:c r="D1" s="4" t="str">
        <x:v>Requirements Traceability Matrix (RTM)</x:v>
      </x:c>
      <x:c r="E1" s="4" t="str">
        <x:v>Requirements Traceability Matrix (RTM)</x:v>
      </x:c>
      <x:c r="F1" s="4" t="str">
        <x:v>Requirements Traceability Matrix (RTM)</x:v>
      </x:c>
      <x:c r="G1" s="4" t="str">
        <x:v>Requirements Traceability Matrix (RTM)</x:v>
      </x:c>
      <x:c r="H1" s="4" t="str">
        <x:v>Requirements Traceability Matrix (RTM)</x:v>
      </x:c>
      <x:c r="I1" s="4" t="str">
        <x:v>Requirements Traceability Matrix (RTM)</x:v>
      </x:c>
      <x:c r="J1" s="4" t="str">
        <x:v>Requirements Traceability Matrix (RTM)</x:v>
      </x:c>
      <x:c r="K1" s="4" t="str">
        <x:v>Requirements Traceability Matrix (RTM)</x:v>
      </x:c>
    </x:row>
    <x:row r="2" ht="24" customHeight="1">
      <x:c r="A2" s="8" t="str">
        <x:v>เชื่อม Requirement กับ Test Case และสรุป Coverage/Execution แบบอัตโนมัติ</x:v>
      </x:c>
      <x:c r="B2" s="8" t="str">
        <x:v>เชื่อม Requirement กับ Test Case และสรุป Coverage/Execution แบบอัตโนมัติ</x:v>
      </x:c>
      <x:c r="C2" s="8" t="str">
        <x:v>เชื่อม Requirement กับ Test Case และสรุป Coverage/Execution แบบอัตโนมัติ</x:v>
      </x:c>
      <x:c r="D2" s="8" t="str">
        <x:v>เชื่อม Requirement กับ Test Case และสรุป Coverage/Execution แบบอัตโนมัติ</x:v>
      </x:c>
      <x:c r="E2" s="8" t="str">
        <x:v>เชื่อม Requirement กับ Test Case และสรุป Coverage/Execution แบบอัตโนมัติ</x:v>
      </x:c>
      <x:c r="F2" s="8" t="str">
        <x:v>เชื่อม Requirement กับ Test Case และสรุป Coverage/Execution แบบอัตโนมัติ</x:v>
      </x:c>
      <x:c r="G2" s="8" t="str">
        <x:v>เชื่อม Requirement กับ Test Case และสรุป Coverage/Execution แบบอัตโนมัติ</x:v>
      </x:c>
      <x:c r="H2" s="8" t="str">
        <x:v>เชื่อม Requirement กับ Test Case และสรุป Coverage/Execution แบบอัตโนมัติ</x:v>
      </x:c>
      <x:c r="I2" s="8" t="str">
        <x:v>เชื่อม Requirement กับ Test Case และสรุป Coverage/Execution แบบอัตโนมัติ</x:v>
      </x:c>
      <x:c r="J2" s="8" t="str">
        <x:v>เชื่อม Requirement กับ Test Case และสรุป Coverage/Execution แบบอัตโนมัติ</x:v>
      </x:c>
      <x:c r="K2" s="8" t="str">
        <x:v>เชื่อม Requirement กับ Test Case และสรุป Coverage/Execution แบบอัตโนมัติ</x:v>
      </x:c>
    </x:row>
    <x:row r="4" ht="30" customHeight="1">
      <x:c r="A4" s="89" t="str">
        <x:v>Requirement ID</x:v>
      </x:c>
      <x:c r="B4" s="90" t="str">
        <x:v>Module</x:v>
      </x:c>
      <x:c r="C4" s="90" t="str">
        <x:v>Requirement</x:v>
      </x:c>
      <x:c r="D4" s="90" t="str">
        <x:v>Source</x:v>
      </x:c>
      <x:c r="E4" s="90" t="str">
        <x:v>Priority</x:v>
      </x:c>
      <x:c r="F4" s="90" t="str">
        <x:v>Test Case Count</x:v>
      </x:c>
      <x:c r="G4" s="90" t="str">
        <x:v>Pass</x:v>
      </x:c>
      <x:c r="H4" s="90" t="str">
        <x:v>Fail</x:v>
      </x:c>
      <x:c r="I4" s="90" t="str">
        <x:v>Not Run</x:v>
      </x:c>
      <x:c r="J4" s="90" t="str">
        <x:v>Coverage</x:v>
      </x:c>
      <x:c r="K4" s="91" t="str">
        <x:v>Execution Status</x:v>
      </x:c>
    </x:row>
    <x:row r="5" ht="38" customHeight="1">
      <x:c r="A5" s="110" t="str">
        <x:v>REQ-AUTH-01</x:v>
      </x:c>
      <x:c r="B5" s="111" t="str">
        <x:v>Authentication</x:v>
      </x:c>
      <x:c r="C5" s="111" t="str">
        <x:v>ผู้ใช้เข้าสู่ระบบตามบทบาท Admin/Engineer/Viewer</x:v>
      </x:c>
      <x:c r="D5" s="111" t="str">
        <x:v>Flow ทำงาน.docx</x:v>
      </x:c>
      <x:c r="E5" s="111" t="str">
        <x:v>Critical</x:v>
      </x:c>
      <x:c r="F5" s="111" t="n">
        <x:f>COUNTIF('Test Cases'!$C$6:$C$205,A5)</x:f>
        <x:v>3</x:v>
      </x:c>
      <x:c r="G5" s="111" t="n">
        <x:f>COUNTIFS('Test Cases'!$C$6:$C$205,A5,'Test Cases'!$O$6:$O$205,"Pass")</x:f>
        <x:v>0</x:v>
      </x:c>
      <x:c r="H5" s="111" t="n">
        <x:f>COUNTIFS('Test Cases'!$C$6:$C$205,A5,'Test Cases'!$O$6:$O$205,"Fail")</x:f>
        <x:v>0</x:v>
      </x:c>
      <x:c r="I5" s="111" t="n">
        <x:f>COUNTIFS('Test Cases'!$C$6:$C$205,A5,'Test Cases'!$O$6:$O$205,"Not Run")</x:f>
        <x:v>3</x:v>
      </x:c>
      <x:c r="J5" s="111" t="str">
        <x:f>IF(F5&gt;0,"Covered","Gap")</x:f>
        <x:v>Covered</x:v>
      </x:c>
      <x:c r="K5" s="112" t="str">
        <x:f>IF(H5&gt;0,"Fail",IF(F5=0,"Gap",IF(G5=F5,"Pass","Pending")))</x:f>
        <x:v>Pending</x:v>
      </x:c>
    </x:row>
    <x:row r="6" ht="38" customHeight="1">
      <x:c r="A6" s="113" t="str">
        <x:v>REQ-AUTH-02</x:v>
      </x:c>
      <x:c r="B6" s="114" t="str">
        <x:v>Authentication</x:v>
      </x:c>
      <x:c r="C6" s="114" t="str">
        <x:v>ตรวจสอบข้อมูล Login และจัดการข้อผิดพลาด</x:v>
      </x:c>
      <x:c r="D6" s="114" t="str">
        <x:v>System/UX</x:v>
      </x:c>
      <x:c r="E6" s="114" t="str">
        <x:v>High</x:v>
      </x:c>
      <x:c r="F6" s="114" t="n">
        <x:f>COUNTIF('Test Cases'!$C$6:$C$205,A6)</x:f>
        <x:v>2</x:v>
      </x:c>
      <x:c r="G6" s="114" t="n">
        <x:f>COUNTIFS('Test Cases'!$C$6:$C$205,A6,'Test Cases'!$O$6:$O$205,"Pass")</x:f>
        <x:v>0</x:v>
      </x:c>
      <x:c r="H6" s="114" t="n">
        <x:f>COUNTIFS('Test Cases'!$C$6:$C$205,A6,'Test Cases'!$O$6:$O$205,"Fail")</x:f>
        <x:v>0</x:v>
      </x:c>
      <x:c r="I6" s="114" t="n">
        <x:f>COUNTIFS('Test Cases'!$C$6:$C$205,A6,'Test Cases'!$O$6:$O$205,"Not Run")</x:f>
        <x:v>2</x:v>
      </x:c>
      <x:c r="J6" s="114" t="str">
        <x:f>IF(F6&gt;0,"Covered","Gap")</x:f>
        <x:v>Covered</x:v>
      </x:c>
      <x:c r="K6" s="115" t="str">
        <x:f>IF(H6&gt;0,"Fail",IF(F6=0,"Gap",IF(G6=F6,"Pass","Pending")))</x:f>
        <x:v>Pending</x:v>
      </x:c>
    </x:row>
    <x:row r="7" ht="38" customHeight="1">
      <x:c r="A7" s="113" t="str">
        <x:v>REQ-AUTH-03</x:v>
      </x:c>
      <x:c r="B7" s="114" t="str">
        <x:v>Authentication</x:v>
      </x:c>
      <x:c r="C7" s="114" t="str">
        <x:v>รักษา session และ Logout อย่างปลอดภัย</x:v>
      </x:c>
      <x:c r="D7" s="114" t="str">
        <x:v>System/Security</x:v>
      </x:c>
      <x:c r="E7" s="114" t="str">
        <x:v>Critical</x:v>
      </x:c>
      <x:c r="F7" s="114" t="n">
        <x:f>COUNTIF('Test Cases'!$C$6:$C$205,A7)</x:f>
        <x:v>2</x:v>
      </x:c>
      <x:c r="G7" s="114" t="n">
        <x:f>COUNTIFS('Test Cases'!$C$6:$C$205,A7,'Test Cases'!$O$6:$O$205,"Pass")</x:f>
        <x:v>0</x:v>
      </x:c>
      <x:c r="H7" s="114" t="n">
        <x:f>COUNTIFS('Test Cases'!$C$6:$C$205,A7,'Test Cases'!$O$6:$O$205,"Fail")</x:f>
        <x:v>0</x:v>
      </x:c>
      <x:c r="I7" s="114" t="n">
        <x:f>COUNTIFS('Test Cases'!$C$6:$C$205,A7,'Test Cases'!$O$6:$O$205,"Not Run")</x:f>
        <x:v>2</x:v>
      </x:c>
      <x:c r="J7" s="114" t="str">
        <x:f>IF(F7&gt;0,"Covered","Gap")</x:f>
        <x:v>Covered</x:v>
      </x:c>
      <x:c r="K7" s="115" t="str">
        <x:f>IF(H7&gt;0,"Fail",IF(F7=0,"Gap",IF(G7=F7,"Pass","Pending")))</x:f>
        <x:v>Pending</x:v>
      </x:c>
    </x:row>
    <x:row r="8" ht="38" customHeight="1">
      <x:c r="A8" s="113" t="str">
        <x:v>REQ-SITE-01</x:v>
      </x:c>
      <x:c r="B8" s="114" t="str">
        <x:v>Jobsite &amp; Access</x:v>
      </x:c>
      <x:c r="C8" s="114" t="str">
        <x:v>เลือกและจำกัดไซต์ตามสิทธิ์ผู้ใช้</x:v>
      </x:c>
      <x:c r="D8" s="114" t="str">
        <x:v>Flow ทำงาน.docx</x:v>
      </x:c>
      <x:c r="E8" s="114" t="str">
        <x:v>Critical</x:v>
      </x:c>
      <x:c r="F8" s="114" t="n">
        <x:f>COUNTIF('Test Cases'!$C$6:$C$205,A8)</x:f>
        <x:v>3</x:v>
      </x:c>
      <x:c r="G8" s="114" t="n">
        <x:f>COUNTIFS('Test Cases'!$C$6:$C$205,A8,'Test Cases'!$O$6:$O$205,"Pass")</x:f>
        <x:v>0</x:v>
      </x:c>
      <x:c r="H8" s="114" t="n">
        <x:f>COUNTIFS('Test Cases'!$C$6:$C$205,A8,'Test Cases'!$O$6:$O$205,"Fail")</x:f>
        <x:v>0</x:v>
      </x:c>
      <x:c r="I8" s="114" t="n">
        <x:f>COUNTIFS('Test Cases'!$C$6:$C$205,A8,'Test Cases'!$O$6:$O$205,"Not Run")</x:f>
        <x:v>3</x:v>
      </x:c>
      <x:c r="J8" s="114" t="str">
        <x:f>IF(F8&gt;0,"Covered","Gap")</x:f>
        <x:v>Covered</x:v>
      </x:c>
      <x:c r="K8" s="115" t="str">
        <x:f>IF(H8&gt;0,"Fail",IF(F8=0,"Gap",IF(G8=F8,"Pass","Pending")))</x:f>
        <x:v>Pending</x:v>
      </x:c>
    </x:row>
    <x:row r="9" ht="38" customHeight="1">
      <x:c r="A9" s="113" t="str">
        <x:v>REQ-SITE-02</x:v>
      </x:c>
      <x:c r="B9" s="114" t="str">
        <x:v>Jobsite &amp; Access</x:v>
      </x:c>
      <x:c r="C9" s="114" t="str">
        <x:v>สลับหรือกลับหน้าเลือกไซต์โดยไม่ปนข้อมูล</x:v>
      </x:c>
      <x:c r="D9" s="114" t="str">
        <x:v>Flow ทำงาน.docx</x:v>
      </x:c>
      <x:c r="E9" s="114" t="str">
        <x:v>Critical</x:v>
      </x:c>
      <x:c r="F9" s="114" t="n">
        <x:f>COUNTIF('Test Cases'!$C$6:$C$205,A9)</x:f>
        <x:v>3</x:v>
      </x:c>
      <x:c r="G9" s="114" t="n">
        <x:f>COUNTIFS('Test Cases'!$C$6:$C$205,A9,'Test Cases'!$O$6:$O$205,"Pass")</x:f>
        <x:v>0</x:v>
      </x:c>
      <x:c r="H9" s="114" t="n">
        <x:f>COUNTIFS('Test Cases'!$C$6:$C$205,A9,'Test Cases'!$O$6:$O$205,"Fail")</x:f>
        <x:v>0</x:v>
      </x:c>
      <x:c r="I9" s="114" t="n">
        <x:f>COUNTIFS('Test Cases'!$C$6:$C$205,A9,'Test Cases'!$O$6:$O$205,"Not Run")</x:f>
        <x:v>3</x:v>
      </x:c>
      <x:c r="J9" s="114" t="str">
        <x:f>IF(F9&gt;0,"Covered","Gap")</x:f>
        <x:v>Covered</x:v>
      </x:c>
      <x:c r="K9" s="115" t="str">
        <x:f>IF(H9&gt;0,"Fail",IF(F9=0,"Gap",IF(G9=F9,"Pass","Pending")))</x:f>
        <x:v>Pending</x:v>
      </x:c>
    </x:row>
    <x:row r="10" ht="38" customHeight="1">
      <x:c r="A10" s="113" t="str">
        <x:v>REQ-DASH-01</x:v>
      </x:c>
      <x:c r="B10" s="114" t="str">
        <x:v>Dashboard</x:v>
      </x:c>
      <x:c r="C10" s="114" t="str">
        <x:v>KPI Plan/Actual/Remaining และงานรอดำเนินการถูกต้อง</x:v>
      </x:c>
      <x:c r="D10" s="114" t="str">
        <x:v>webapp_ServiceAir_Concept.docx</x:v>
      </x:c>
      <x:c r="E10" s="114" t="str">
        <x:v>Critical</x:v>
      </x:c>
      <x:c r="F10" s="114" t="n">
        <x:f>COUNTIF('Test Cases'!$C$6:$C$205,A10)</x:f>
        <x:v>3</x:v>
      </x:c>
      <x:c r="G10" s="114" t="n">
        <x:f>COUNTIFS('Test Cases'!$C$6:$C$205,A10,'Test Cases'!$O$6:$O$205,"Pass")</x:f>
        <x:v>0</x:v>
      </x:c>
      <x:c r="H10" s="114" t="n">
        <x:f>COUNTIFS('Test Cases'!$C$6:$C$205,A10,'Test Cases'!$O$6:$O$205,"Fail")</x:f>
        <x:v>0</x:v>
      </x:c>
      <x:c r="I10" s="114" t="n">
        <x:f>COUNTIFS('Test Cases'!$C$6:$C$205,A10,'Test Cases'!$O$6:$O$205,"Not Run")</x:f>
        <x:v>3</x:v>
      </x:c>
      <x:c r="J10" s="114" t="str">
        <x:f>IF(F10&gt;0,"Covered","Gap")</x:f>
        <x:v>Covered</x:v>
      </x:c>
      <x:c r="K10" s="115" t="str">
        <x:f>IF(H10&gt;0,"Fail",IF(F10=0,"Gap",IF(G10=F10,"Pass","Pending")))</x:f>
        <x:v>Pending</x:v>
      </x:c>
    </x:row>
    <x:row r="11" ht="38" customHeight="1">
      <x:c r="A11" s="113" t="str">
        <x:v>REQ-DASH-02</x:v>
      </x:c>
      <x:c r="B11" s="114" t="str">
        <x:v>Dashboard</x:v>
      </x:c>
      <x:c r="C11" s="114" t="str">
        <x:v>กราฟและข้อมูล Dashboard แยกตามไซต์/ช่วงเวลา</x:v>
      </x:c>
      <x:c r="D11" s="114" t="str">
        <x:v>webapp_ServiceAir_Concept.docx</x:v>
      </x:c>
      <x:c r="E11" s="114" t="str">
        <x:v>High</x:v>
      </x:c>
      <x:c r="F11" s="114" t="n">
        <x:f>COUNTIF('Test Cases'!$C$6:$C$205,A11)</x:f>
        <x:v>3</x:v>
      </x:c>
      <x:c r="G11" s="114" t="n">
        <x:f>COUNTIFS('Test Cases'!$C$6:$C$205,A11,'Test Cases'!$O$6:$O$205,"Pass")</x:f>
        <x:v>0</x:v>
      </x:c>
      <x:c r="H11" s="114" t="n">
        <x:f>COUNTIFS('Test Cases'!$C$6:$C$205,A11,'Test Cases'!$O$6:$O$205,"Fail")</x:f>
        <x:v>0</x:v>
      </x:c>
      <x:c r="I11" s="114" t="n">
        <x:f>COUNTIFS('Test Cases'!$C$6:$C$205,A11,'Test Cases'!$O$6:$O$205,"Not Run")</x:f>
        <x:v>3</x:v>
      </x:c>
      <x:c r="J11" s="114" t="str">
        <x:f>IF(F11&gt;0,"Covered","Gap")</x:f>
        <x:v>Covered</x:v>
      </x:c>
      <x:c r="K11" s="115" t="str">
        <x:f>IF(H11&gt;0,"Fail",IF(F11=0,"Gap",IF(G11=F11,"Pass","Pending")))</x:f>
        <x:v>Pending</x:v>
      </x:c>
    </x:row>
    <x:row r="12" ht="38" customHeight="1">
      <x:c r="A12" s="113" t="str">
        <x:v>REQ-PLAN-01</x:v>
      </x:c>
      <x:c r="B12" s="114" t="str">
        <x:v>PM Plan</x:v>
      </x:c>
      <x:c r="C12" s="114" t="str">
        <x:v>สร้างแผน PM และรอบ 1/2/3 เดือน</x:v>
      </x:c>
      <x:c r="D12" s="114" t="str">
        <x:v>Flow ทำงาน.docx</x:v>
      </x:c>
      <x:c r="E12" s="114" t="str">
        <x:v>Critical</x:v>
      </x:c>
      <x:c r="F12" s="114" t="n">
        <x:f>COUNTIF('Test Cases'!$C$6:$C$205,A12)</x:f>
        <x:v>4</x:v>
      </x:c>
      <x:c r="G12" s="114" t="n">
        <x:f>COUNTIFS('Test Cases'!$C$6:$C$205,A12,'Test Cases'!$O$6:$O$205,"Pass")</x:f>
        <x:v>0</x:v>
      </x:c>
      <x:c r="H12" s="114" t="n">
        <x:f>COUNTIFS('Test Cases'!$C$6:$C$205,A12,'Test Cases'!$O$6:$O$205,"Fail")</x:f>
        <x:v>0</x:v>
      </x:c>
      <x:c r="I12" s="114" t="n">
        <x:f>COUNTIFS('Test Cases'!$C$6:$C$205,A12,'Test Cases'!$O$6:$O$205,"Not Run")</x:f>
        <x:v>4</x:v>
      </x:c>
      <x:c r="J12" s="114" t="str">
        <x:f>IF(F12&gt;0,"Covered","Gap")</x:f>
        <x:v>Covered</x:v>
      </x:c>
      <x:c r="K12" s="115" t="str">
        <x:f>IF(H12&gt;0,"Fail",IF(F12=0,"Gap",IF(G12=F12,"Pass","Pending")))</x:f>
        <x:v>Pending</x:v>
      </x:c>
    </x:row>
    <x:row r="13" ht="38" customHeight="1">
      <x:c r="A13" s="113" t="str">
        <x:v>REQ-PLAN-02</x:v>
      </x:c>
      <x:c r="B13" s="114" t="str">
        <x:v>PM Plan</x:v>
      </x:c>
      <x:c r="C13" s="114" t="str">
        <x:v>ตรวจสอบและแก้ไขข้อมูลแผน</x:v>
      </x:c>
      <x:c r="D13" s="114" t="str">
        <x:v>Flow ทำงาน.docx</x:v>
      </x:c>
      <x:c r="E13" s="114" t="str">
        <x:v>High</x:v>
      </x:c>
      <x:c r="F13" s="114" t="n">
        <x:f>COUNTIF('Test Cases'!$C$6:$C$205,A13)</x:f>
        <x:v>2</x:v>
      </x:c>
      <x:c r="G13" s="114" t="n">
        <x:f>COUNTIFS('Test Cases'!$C$6:$C$205,A13,'Test Cases'!$O$6:$O$205,"Pass")</x:f>
        <x:v>0</x:v>
      </x:c>
      <x:c r="H13" s="114" t="n">
        <x:f>COUNTIFS('Test Cases'!$C$6:$C$205,A13,'Test Cases'!$O$6:$O$205,"Fail")</x:f>
        <x:v>0</x:v>
      </x:c>
      <x:c r="I13" s="114" t="n">
        <x:f>COUNTIFS('Test Cases'!$C$6:$C$205,A13,'Test Cases'!$O$6:$O$205,"Not Run")</x:f>
        <x:v>2</x:v>
      </x:c>
      <x:c r="J13" s="114" t="str">
        <x:f>IF(F13&gt;0,"Covered","Gap")</x:f>
        <x:v>Covered</x:v>
      </x:c>
      <x:c r="K13" s="115" t="str">
        <x:f>IF(H13&gt;0,"Fail",IF(F13=0,"Gap",IF(G13=F13,"Pass","Pending")))</x:f>
        <x:v>Pending</x:v>
      </x:c>
    </x:row>
    <x:row r="14" ht="38" customHeight="1">
      <x:c r="A14" s="113" t="str">
        <x:v>REQ-PLAN-03</x:v>
      </x:c>
      <x:c r="B14" s="114" t="str">
        <x:v>PM Plan</x:v>
      </x:c>
      <x:c r="C14" s="114" t="str">
        <x:v>ลบอย่างปลอดภัยและควบคุมสิทธิ์</x:v>
      </x:c>
      <x:c r="D14" s="114" t="str">
        <x:v>Flow ทำงาน.docx</x:v>
      </x:c>
      <x:c r="E14" s="114" t="str">
        <x:v>Critical</x:v>
      </x:c>
      <x:c r="F14" s="114" t="n">
        <x:f>COUNTIF('Test Cases'!$C$6:$C$205,A14)</x:f>
        <x:v>4</x:v>
      </x:c>
      <x:c r="G14" s="114" t="n">
        <x:f>COUNTIFS('Test Cases'!$C$6:$C$205,A14,'Test Cases'!$O$6:$O$205,"Pass")</x:f>
        <x:v>0</x:v>
      </x:c>
      <x:c r="H14" s="114" t="n">
        <x:f>COUNTIFS('Test Cases'!$C$6:$C$205,A14,'Test Cases'!$O$6:$O$205,"Fail")</x:f>
        <x:v>0</x:v>
      </x:c>
      <x:c r="I14" s="114" t="n">
        <x:f>COUNTIFS('Test Cases'!$C$6:$C$205,A14,'Test Cases'!$O$6:$O$205,"Not Run")</x:f>
        <x:v>4</x:v>
      </x:c>
      <x:c r="J14" s="114" t="str">
        <x:f>IF(F14&gt;0,"Covered","Gap")</x:f>
        <x:v>Covered</x:v>
      </x:c>
      <x:c r="K14" s="115" t="str">
        <x:f>IF(H14&gt;0,"Fail",IF(F14=0,"Gap",IF(G14=F14,"Pass","Pending")))</x:f>
        <x:v>Pending</x:v>
      </x:c>
    </x:row>
    <x:row r="15" ht="38" customHeight="1">
      <x:c r="A15" s="113" t="str">
        <x:v>REQ-WO-01</x:v>
      </x:c>
      <x:c r="B15" s="114" t="str">
        <x:v>Work Orders</x:v>
      </x:c>
      <x:c r="C15" s="114" t="str">
        <x:v>สร้างและเริ่มดำเนินการ Work Order</x:v>
      </x:c>
      <x:c r="D15" s="114" t="str">
        <x:v>Flow ทำงาน.docx</x:v>
      </x:c>
      <x:c r="E15" s="114" t="str">
        <x:v>Critical</x:v>
      </x:c>
      <x:c r="F15" s="114" t="n">
        <x:f>COUNTIF('Test Cases'!$C$6:$C$205,A15)</x:f>
        <x:v>3</x:v>
      </x:c>
      <x:c r="G15" s="114" t="n">
        <x:f>COUNTIFS('Test Cases'!$C$6:$C$205,A15,'Test Cases'!$O$6:$O$205,"Pass")</x:f>
        <x:v>0</x:v>
      </x:c>
      <x:c r="H15" s="114" t="n">
        <x:f>COUNTIFS('Test Cases'!$C$6:$C$205,A15,'Test Cases'!$O$6:$O$205,"Fail")</x:f>
        <x:v>0</x:v>
      </x:c>
      <x:c r="I15" s="114" t="n">
        <x:f>COUNTIFS('Test Cases'!$C$6:$C$205,A15,'Test Cases'!$O$6:$O$205,"Not Run")</x:f>
        <x:v>3</x:v>
      </x:c>
      <x:c r="J15" s="114" t="str">
        <x:f>IF(F15&gt;0,"Covered","Gap")</x:f>
        <x:v>Covered</x:v>
      </x:c>
      <x:c r="K15" s="115" t="str">
        <x:f>IF(H15&gt;0,"Fail",IF(F15=0,"Gap",IF(G15=F15,"Pass","Pending")))</x:f>
        <x:v>Pending</x:v>
      </x:c>
    </x:row>
    <x:row r="16" ht="38" customHeight="1">
      <x:c r="A16" s="113" t="str">
        <x:v>REQ-WO-02</x:v>
      </x:c>
      <x:c r="B16" s="114" t="str">
        <x:v>Work Orders</x:v>
      </x:c>
      <x:c r="C16" s="114" t="str">
        <x:v>สถานะ ค้นหา กรอง ปิดงาน และจำกัดไซต์</x:v>
      </x:c>
      <x:c r="D16" s="114" t="str">
        <x:v>Flow ทำงาน.docx</x:v>
      </x:c>
      <x:c r="E16" s="114" t="str">
        <x:v>Critical</x:v>
      </x:c>
      <x:c r="F16" s="114" t="n">
        <x:f>COUNTIF('Test Cases'!$C$6:$C$205,A16)</x:f>
        <x:v>5</x:v>
      </x:c>
      <x:c r="G16" s="114" t="n">
        <x:f>COUNTIFS('Test Cases'!$C$6:$C$205,A16,'Test Cases'!$O$6:$O$205,"Pass")</x:f>
        <x:v>0</x:v>
      </x:c>
      <x:c r="H16" s="114" t="n">
        <x:f>COUNTIFS('Test Cases'!$C$6:$C$205,A16,'Test Cases'!$O$6:$O$205,"Fail")</x:f>
        <x:v>0</x:v>
      </x:c>
      <x:c r="I16" s="114" t="n">
        <x:f>COUNTIFS('Test Cases'!$C$6:$C$205,A16,'Test Cases'!$O$6:$O$205,"Not Run")</x:f>
        <x:v>5</x:v>
      </x:c>
      <x:c r="J16" s="114" t="str">
        <x:f>IF(F16&gt;0,"Covered","Gap")</x:f>
        <x:v>Covered</x:v>
      </x:c>
      <x:c r="K16" s="115" t="str">
        <x:f>IF(H16&gt;0,"Fail",IF(F16=0,"Gap",IF(G16=F16,"Pass","Pending")))</x:f>
        <x:v>Pending</x:v>
      </x:c>
    </x:row>
    <x:row r="17" ht="38" customHeight="1">
      <x:c r="A17" s="113" t="str">
        <x:v>REQ-SR-01</x:v>
      </x:c>
      <x:c r="B17" s="114" t="str">
        <x:v>Service Reports</x:v>
      </x:c>
      <x:c r="C17" s="114" t="str">
        <x:v>สร้างและบันทึกรายงานบริการ</x:v>
      </x:c>
      <x:c r="D17" s="114" t="str">
        <x:v>Flow ทำงาน.docx</x:v>
      </x:c>
      <x:c r="E17" s="114" t="str">
        <x:v>Critical</x:v>
      </x:c>
      <x:c r="F17" s="114" t="n">
        <x:f>COUNTIF('Test Cases'!$C$6:$C$205,A17)</x:f>
        <x:v>3</x:v>
      </x:c>
      <x:c r="G17" s="114" t="n">
        <x:f>COUNTIFS('Test Cases'!$C$6:$C$205,A17,'Test Cases'!$O$6:$O$205,"Pass")</x:f>
        <x:v>0</x:v>
      </x:c>
      <x:c r="H17" s="114" t="n">
        <x:f>COUNTIFS('Test Cases'!$C$6:$C$205,A17,'Test Cases'!$O$6:$O$205,"Fail")</x:f>
        <x:v>0</x:v>
      </x:c>
      <x:c r="I17" s="114" t="n">
        <x:f>COUNTIFS('Test Cases'!$C$6:$C$205,A17,'Test Cases'!$O$6:$O$205,"Not Run")</x:f>
        <x:v>3</x:v>
      </x:c>
      <x:c r="J17" s="114" t="str">
        <x:f>IF(F17&gt;0,"Covered","Gap")</x:f>
        <x:v>Covered</x:v>
      </x:c>
      <x:c r="K17" s="115" t="str">
        <x:f>IF(H17&gt;0,"Fail",IF(F17=0,"Gap",IF(G17=F17,"Pass","Pending")))</x:f>
        <x:v>Pending</x:v>
      </x:c>
    </x:row>
    <x:row r="18" ht="38" customHeight="1">
      <x:c r="A18" s="113" t="str">
        <x:v>REQ-SR-02</x:v>
      </x:c>
      <x:c r="B18" s="114" t="str">
        <x:v>Service Reports</x:v>
      </x:c>
      <x:c r="C18" s="114" t="str">
        <x:v>แนบหลักฐานรูปภาพตามข้อจำกัด</x:v>
      </x:c>
      <x:c r="D18" s="114" t="str">
        <x:v>Flow ทำงาน.docx</x:v>
      </x:c>
      <x:c r="E18" s="114" t="str">
        <x:v>Critical</x:v>
      </x:c>
      <x:c r="F18" s="114" t="n">
        <x:f>COUNTIF('Test Cases'!$C$6:$C$205,A18)</x:f>
        <x:v>5</x:v>
      </x:c>
      <x:c r="G18" s="114" t="n">
        <x:f>COUNTIFS('Test Cases'!$C$6:$C$205,A18,'Test Cases'!$O$6:$O$205,"Pass")</x:f>
        <x:v>0</x:v>
      </x:c>
      <x:c r="H18" s="114" t="n">
        <x:f>COUNTIFS('Test Cases'!$C$6:$C$205,A18,'Test Cases'!$O$6:$O$205,"Fail")</x:f>
        <x:v>0</x:v>
      </x:c>
      <x:c r="I18" s="114" t="n">
        <x:f>COUNTIFS('Test Cases'!$C$6:$C$205,A18,'Test Cases'!$O$6:$O$205,"Not Run")</x:f>
        <x:v>5</x:v>
      </x:c>
      <x:c r="J18" s="114" t="str">
        <x:f>IF(F18&gt;0,"Covered","Gap")</x:f>
        <x:v>Covered</x:v>
      </x:c>
      <x:c r="K18" s="115" t="str">
        <x:f>IF(H18&gt;0,"Fail",IF(F18=0,"Gap",IF(G18=F18,"Pass","Pending")))</x:f>
        <x:v>Pending</x:v>
      </x:c>
    </x:row>
    <x:row r="19" ht="38" customHeight="1">
      <x:c r="A19" s="113" t="str">
        <x:v>REQ-SR-03</x:v>
      </x:c>
      <x:c r="B19" s="114" t="str">
        <x:v>Service Reports</x:v>
      </x:c>
      <x:c r="C19" s="114" t="str">
        <x:v>Submit/Approve/Reject และล็อกข้อมูลตามสถานะ</x:v>
      </x:c>
      <x:c r="D19" s="114" t="str">
        <x:v>Flow ทำงาน.docx</x:v>
      </x:c>
      <x:c r="E19" s="114" t="str">
        <x:v>Critical</x:v>
      </x:c>
      <x:c r="F19" s="114" t="n">
        <x:f>COUNTIF('Test Cases'!$C$6:$C$205,A19)</x:f>
        <x:v>6</x:v>
      </x:c>
      <x:c r="G19" s="114" t="n">
        <x:f>COUNTIFS('Test Cases'!$C$6:$C$205,A19,'Test Cases'!$O$6:$O$205,"Pass")</x:f>
        <x:v>0</x:v>
      </x:c>
      <x:c r="H19" s="114" t="n">
        <x:f>COUNTIFS('Test Cases'!$C$6:$C$205,A19,'Test Cases'!$O$6:$O$205,"Fail")</x:f>
        <x:v>0</x:v>
      </x:c>
      <x:c r="I19" s="114" t="n">
        <x:f>COUNTIFS('Test Cases'!$C$6:$C$205,A19,'Test Cases'!$O$6:$O$205,"Not Run")</x:f>
        <x:v>6</x:v>
      </x:c>
      <x:c r="J19" s="114" t="str">
        <x:f>IF(F19&gt;0,"Covered","Gap")</x:f>
        <x:v>Covered</x:v>
      </x:c>
      <x:c r="K19" s="115" t="str">
        <x:f>IF(H19&gt;0,"Fail",IF(F19=0,"Gap",IF(G19=F19,"Pass","Pending")))</x:f>
        <x:v>Pending</x:v>
      </x:c>
    </x:row>
    <x:row r="20" ht="38" customHeight="1">
      <x:c r="A20" s="113" t="str">
        <x:v>REQ-SR-04</x:v>
      </x:c>
      <x:c r="B20" s="114" t="str">
        <x:v>Service Reports</x:v>
      </x:c>
      <x:c r="C20" s="114" t="str">
        <x:v>สร้าง Repair จาก Abnormal และ Export PDF</x:v>
      </x:c>
      <x:c r="D20" s="114" t="str">
        <x:v>Flow ทำงาน.docx</x:v>
      </x:c>
      <x:c r="E20" s="114" t="str">
        <x:v>Critical</x:v>
      </x:c>
      <x:c r="F20" s="114" t="n">
        <x:f>COUNTIF('Test Cases'!$C$6:$C$205,A20)</x:f>
        <x:v>2</x:v>
      </x:c>
      <x:c r="G20" s="114" t="n">
        <x:f>COUNTIFS('Test Cases'!$C$6:$C$205,A20,'Test Cases'!$O$6:$O$205,"Pass")</x:f>
        <x:v>0</x:v>
      </x:c>
      <x:c r="H20" s="114" t="n">
        <x:f>COUNTIFS('Test Cases'!$C$6:$C$205,A20,'Test Cases'!$O$6:$O$205,"Fail")</x:f>
        <x:v>0</x:v>
      </x:c>
      <x:c r="I20" s="114" t="n">
        <x:f>COUNTIFS('Test Cases'!$C$6:$C$205,A20,'Test Cases'!$O$6:$O$205,"Not Run")</x:f>
        <x:v>2</x:v>
      </x:c>
      <x:c r="J20" s="114" t="str">
        <x:f>IF(F20&gt;0,"Covered","Gap")</x:f>
        <x:v>Covered</x:v>
      </x:c>
      <x:c r="K20" s="115" t="str">
        <x:f>IF(H20&gt;0,"Fail",IF(F20=0,"Gap",IF(G20=F20,"Pass","Pending")))</x:f>
        <x:v>Pending</x:v>
      </x:c>
    </x:row>
    <x:row r="21" ht="38" customHeight="1">
      <x:c r="A21" s="113" t="str">
        <x:v>REQ-REPAIR-01</x:v>
      </x:c>
      <x:c r="B21" s="114" t="str">
        <x:v>Repair Requests</x:v>
      </x:c>
      <x:c r="C21" s="114" t="str">
        <x:v>สร้างใบแจ้งซ่อม Manual/Automatic</x:v>
      </x:c>
      <x:c r="D21" s="114" t="str">
        <x:v>Flow ทำงาน.docx</x:v>
      </x:c>
      <x:c r="E21" s="114" t="str">
        <x:v>Critical</x:v>
      </x:c>
      <x:c r="F21" s="114" t="n">
        <x:f>COUNTIF('Test Cases'!$C$6:$C$205,A21)</x:f>
        <x:v>3</x:v>
      </x:c>
      <x:c r="G21" s="114" t="n">
        <x:f>COUNTIFS('Test Cases'!$C$6:$C$205,A21,'Test Cases'!$O$6:$O$205,"Pass")</x:f>
        <x:v>0</x:v>
      </x:c>
      <x:c r="H21" s="114" t="n">
        <x:f>COUNTIFS('Test Cases'!$C$6:$C$205,A21,'Test Cases'!$O$6:$O$205,"Fail")</x:f>
        <x:v>0</x:v>
      </x:c>
      <x:c r="I21" s="114" t="n">
        <x:f>COUNTIFS('Test Cases'!$C$6:$C$205,A21,'Test Cases'!$O$6:$O$205,"Not Run")</x:f>
        <x:v>3</x:v>
      </x:c>
      <x:c r="J21" s="114" t="str">
        <x:f>IF(F21&gt;0,"Covered","Gap")</x:f>
        <x:v>Covered</x:v>
      </x:c>
      <x:c r="K21" s="115" t="str">
        <x:f>IF(H21&gt;0,"Fail",IF(F21=0,"Gap",IF(G21=F21,"Pass","Pending")))</x:f>
        <x:v>Pending</x:v>
      </x:c>
    </x:row>
    <x:row r="22" ht="38" customHeight="1">
      <x:c r="A22" s="113" t="str">
        <x:v>REQ-REPAIR-02</x:v>
      </x:c>
      <x:c r="B22" s="114" t="str">
        <x:v>Repair Requests</x:v>
      </x:c>
      <x:c r="C22" s="114" t="str">
        <x:v>จัดการสถานะ ค้นหา แยกไซต์ และ PDF</x:v>
      </x:c>
      <x:c r="D22" s="114" t="str">
        <x:v>Flow ทำงาน.docx</x:v>
      </x:c>
      <x:c r="E22" s="114" t="str">
        <x:v>High</x:v>
      </x:c>
      <x:c r="F22" s="114" t="n">
        <x:f>COUNTIF('Test Cases'!$C$6:$C$205,A22)</x:f>
        <x:v>4</x:v>
      </x:c>
      <x:c r="G22" s="114" t="n">
        <x:f>COUNTIFS('Test Cases'!$C$6:$C$205,A22,'Test Cases'!$O$6:$O$205,"Pass")</x:f>
        <x:v>0</x:v>
      </x:c>
      <x:c r="H22" s="114" t="n">
        <x:f>COUNTIFS('Test Cases'!$C$6:$C$205,A22,'Test Cases'!$O$6:$O$205,"Fail")</x:f>
        <x:v>0</x:v>
      </x:c>
      <x:c r="I22" s="114" t="n">
        <x:f>COUNTIFS('Test Cases'!$C$6:$C$205,A22,'Test Cases'!$O$6:$O$205,"Not Run")</x:f>
        <x:v>4</x:v>
      </x:c>
      <x:c r="J22" s="114" t="str">
        <x:f>IF(F22&gt;0,"Covered","Gap")</x:f>
        <x:v>Covered</x:v>
      </x:c>
      <x:c r="K22" s="115" t="str">
        <x:f>IF(H22&gt;0,"Fail",IF(F22=0,"Gap",IF(G22=F22,"Pass","Pending")))</x:f>
        <x:v>Pending</x:v>
      </x:c>
    </x:row>
    <x:row r="23" ht="38" customHeight="1">
      <x:c r="A23" s="113" t="str">
        <x:v>REQ-REPORT-01</x:v>
      </x:c>
      <x:c r="B23" s="114" t="str">
        <x:v>Reports</x:v>
      </x:c>
      <x:c r="C23" s="114" t="str">
        <x:v>รายงานสรุปใช้ Approved data และแยกไซต์</x:v>
      </x:c>
      <x:c r="D23" s="114" t="str">
        <x:v>webapp_ServiceAir_Concept.docx</x:v>
      </x:c>
      <x:c r="E23" s="114" t="str">
        <x:v>Critical</x:v>
      </x:c>
      <x:c r="F23" s="114" t="n">
        <x:f>COUNTIF('Test Cases'!$C$6:$C$205,A23)</x:f>
        <x:v>5</x:v>
      </x:c>
      <x:c r="G23" s="114" t="n">
        <x:f>COUNTIFS('Test Cases'!$C$6:$C$205,A23,'Test Cases'!$O$6:$O$205,"Pass")</x:f>
        <x:v>0</x:v>
      </x:c>
      <x:c r="H23" s="114" t="n">
        <x:f>COUNTIFS('Test Cases'!$C$6:$C$205,A23,'Test Cases'!$O$6:$O$205,"Fail")</x:f>
        <x:v>0</x:v>
      </x:c>
      <x:c r="I23" s="114" t="n">
        <x:f>COUNTIFS('Test Cases'!$C$6:$C$205,A23,'Test Cases'!$O$6:$O$205,"Not Run")</x:f>
        <x:v>5</x:v>
      </x:c>
      <x:c r="J23" s="114" t="str">
        <x:f>IF(F23&gt;0,"Covered","Gap")</x:f>
        <x:v>Covered</x:v>
      </x:c>
      <x:c r="K23" s="115" t="str">
        <x:f>IF(H23&gt;0,"Fail",IF(F23=0,"Gap",IF(G23=F23,"Pass","Pending")))</x:f>
        <x:v>Pending</x:v>
      </x:c>
    </x:row>
    <x:row r="24" ht="38" customHeight="1">
      <x:c r="A24" s="113" t="str">
        <x:v>REQ-ASSET-01</x:v>
      </x:c>
      <x:c r="B24" s="114" t="str">
        <x:v>Assets</x:v>
      </x:c>
      <x:c r="C24" s="114" t="str">
        <x:v>ค้นหา กรอง และดูประวัติทรัพย์สิน</x:v>
      </x:c>
      <x:c r="D24" s="114" t="str">
        <x:v>webapp_ServiceAir_Concept.docx</x:v>
      </x:c>
      <x:c r="E24" s="114" t="str">
        <x:v>High</x:v>
      </x:c>
      <x:c r="F24" s="114" t="n">
        <x:f>COUNTIF('Test Cases'!$C$6:$C$205,A24)</x:f>
        <x:v>4</x:v>
      </x:c>
      <x:c r="G24" s="114" t="n">
        <x:f>COUNTIFS('Test Cases'!$C$6:$C$205,A24,'Test Cases'!$O$6:$O$205,"Pass")</x:f>
        <x:v>0</x:v>
      </x:c>
      <x:c r="H24" s="114" t="n">
        <x:f>COUNTIFS('Test Cases'!$C$6:$C$205,A24,'Test Cases'!$O$6:$O$205,"Fail")</x:f>
        <x:v>0</x:v>
      </x:c>
      <x:c r="I24" s="114" t="n">
        <x:f>COUNTIFS('Test Cases'!$C$6:$C$205,A24,'Test Cases'!$O$6:$O$205,"Not Run")</x:f>
        <x:v>4</x:v>
      </x:c>
      <x:c r="J24" s="114" t="str">
        <x:f>IF(F24&gt;0,"Covered","Gap")</x:f>
        <x:v>Covered</x:v>
      </x:c>
      <x:c r="K24" s="115" t="str">
        <x:f>IF(H24&gt;0,"Fail",IF(F24=0,"Gap",IF(G24=F24,"Pass","Pending")))</x:f>
        <x:v>Pending</x:v>
      </x:c>
    </x:row>
    <x:row r="25" ht="38" customHeight="1">
      <x:c r="A25" s="113" t="str">
        <x:v>REQ-ALERT-01</x:v>
      </x:c>
      <x:c r="B25" s="114" t="str">
        <x:v>Alerts</x:v>
      </x:c>
      <x:c r="C25" s="114" t="str">
        <x:v>รับทราบ Alert และสร้าง Work Order</x:v>
      </x:c>
      <x:c r="D25" s="114" t="str">
        <x:v>webapp_ServiceAir_Concept.docx</x:v>
      </x:c>
      <x:c r="E25" s="114" t="str">
        <x:v>Critical</x:v>
      </x:c>
      <x:c r="F25" s="114" t="n">
        <x:f>COUNTIF('Test Cases'!$C$6:$C$205,A25)</x:f>
        <x:v>4</x:v>
      </x:c>
      <x:c r="G25" s="114" t="n">
        <x:f>COUNTIFS('Test Cases'!$C$6:$C$205,A25,'Test Cases'!$O$6:$O$205,"Pass")</x:f>
        <x:v>0</x:v>
      </x:c>
      <x:c r="H25" s="114" t="n">
        <x:f>COUNTIFS('Test Cases'!$C$6:$C$205,A25,'Test Cases'!$O$6:$O$205,"Fail")</x:f>
        <x:v>0</x:v>
      </x:c>
      <x:c r="I25" s="114" t="n">
        <x:f>COUNTIFS('Test Cases'!$C$6:$C$205,A25,'Test Cases'!$O$6:$O$205,"Not Run")</x:f>
        <x:v>4</x:v>
      </x:c>
      <x:c r="J25" s="114" t="str">
        <x:f>IF(F25&gt;0,"Covered","Gap")</x:f>
        <x:v>Covered</x:v>
      </x:c>
      <x:c r="K25" s="115" t="str">
        <x:f>IF(H25&gt;0,"Fail",IF(F25=0,"Gap",IF(G25=F25,"Pass","Pending")))</x:f>
        <x:v>Pending</x:v>
      </x:c>
    </x:row>
    <x:row r="26" ht="38" customHeight="1">
      <x:c r="A26" s="113" t="str">
        <x:v>REQ-IOT-01</x:v>
      </x:c>
      <x:c r="B26" s="114" t="str">
        <x:v>IoT Monitoring</x:v>
      </x:c>
      <x:c r="C26" s="114" t="str">
        <x:v>แสดง telemetry/สถานะและจำกัดสิทธิ์</x:v>
      </x:c>
      <x:c r="D26" s="114" t="str">
        <x:v>webapp_ServiceAir_Concept.docx</x:v>
      </x:c>
      <x:c r="E26" s="114" t="str">
        <x:v>High</x:v>
      </x:c>
      <x:c r="F26" s="114" t="n">
        <x:f>COUNTIF('Test Cases'!$C$6:$C$205,A26)</x:f>
        <x:v>3</x:v>
      </x:c>
      <x:c r="G26" s="114" t="n">
        <x:f>COUNTIFS('Test Cases'!$C$6:$C$205,A26,'Test Cases'!$O$6:$O$205,"Pass")</x:f>
        <x:v>0</x:v>
      </x:c>
      <x:c r="H26" s="114" t="n">
        <x:f>COUNTIFS('Test Cases'!$C$6:$C$205,A26,'Test Cases'!$O$6:$O$205,"Fail")</x:f>
        <x:v>0</x:v>
      </x:c>
      <x:c r="I26" s="114" t="n">
        <x:f>COUNTIFS('Test Cases'!$C$6:$C$205,A26,'Test Cases'!$O$6:$O$205,"Not Run")</x:f>
        <x:v>3</x:v>
      </x:c>
      <x:c r="J26" s="114" t="str">
        <x:f>IF(F26&gt;0,"Covered","Gap")</x:f>
        <x:v>Covered</x:v>
      </x:c>
      <x:c r="K26" s="115" t="str">
        <x:f>IF(H26&gt;0,"Fail",IF(F26=0,"Gap",IF(G26=F26,"Pass","Pending")))</x:f>
        <x:v>Pending</x:v>
      </x:c>
    </x:row>
    <x:row r="27" ht="38" customHeight="1">
      <x:c r="A27" s="113" t="str">
        <x:v>REQ-PROFILE-01</x:v>
      </x:c>
      <x:c r="B27" s="114" t="str">
        <x:v>User Profile</x:v>
      </x:c>
      <x:c r="C27" s="114" t="str">
        <x:v>แสดงบัญชี บทบาท และไซต์</x:v>
      </x:c>
      <x:c r="D27" s="114" t="str">
        <x:v>System/UX</x:v>
      </x:c>
      <x:c r="E27" s="114" t="str">
        <x:v>High</x:v>
      </x:c>
      <x:c r="F27" s="114" t="n">
        <x:f>COUNTIF('Test Cases'!$C$6:$C$205,A27)</x:f>
        <x:v>2</x:v>
      </x:c>
      <x:c r="G27" s="114" t="n">
        <x:f>COUNTIFS('Test Cases'!$C$6:$C$205,A27,'Test Cases'!$O$6:$O$205,"Pass")</x:f>
        <x:v>0</x:v>
      </x:c>
      <x:c r="H27" s="114" t="n">
        <x:f>COUNTIFS('Test Cases'!$C$6:$C$205,A27,'Test Cases'!$O$6:$O$205,"Fail")</x:f>
        <x:v>0</x:v>
      </x:c>
      <x:c r="I27" s="114" t="n">
        <x:f>COUNTIFS('Test Cases'!$C$6:$C$205,A27,'Test Cases'!$O$6:$O$205,"Not Run")</x:f>
        <x:v>2</x:v>
      </x:c>
      <x:c r="J27" s="114" t="str">
        <x:f>IF(F27&gt;0,"Covered","Gap")</x:f>
        <x:v>Covered</x:v>
      </x:c>
      <x:c r="K27" s="115" t="str">
        <x:f>IF(H27&gt;0,"Fail",IF(F27=0,"Gap",IF(G27=F27,"Pass","Pending")))</x:f>
        <x:v>Pending</x:v>
      </x:c>
    </x:row>
    <x:row r="28" ht="38" customHeight="1">
      <x:c r="A28" s="113" t="str">
        <x:v>REQ-PROFILE-02</x:v>
      </x:c>
      <x:c r="B28" s="114" t="str">
        <x:v>User Profile</x:v>
      </x:c>
      <x:c r="C28" s="114" t="str">
        <x:v>Logout และกลับหน้าเลือกไซต์</x:v>
      </x:c>
      <x:c r="D28" s="114" t="str">
        <x:v>System/UX</x:v>
      </x:c>
      <x:c r="E28" s="114" t="str">
        <x:v>High</x:v>
      </x:c>
      <x:c r="F28" s="114" t="n">
        <x:f>COUNTIF('Test Cases'!$C$6:$C$205,A28)</x:f>
        <x:v>2</x:v>
      </x:c>
      <x:c r="G28" s="114" t="n">
        <x:f>COUNTIFS('Test Cases'!$C$6:$C$205,A28,'Test Cases'!$O$6:$O$205,"Pass")</x:f>
        <x:v>0</x:v>
      </x:c>
      <x:c r="H28" s="114" t="n">
        <x:f>COUNTIFS('Test Cases'!$C$6:$C$205,A28,'Test Cases'!$O$6:$O$205,"Fail")</x:f>
        <x:v>0</x:v>
      </x:c>
      <x:c r="I28" s="114" t="n">
        <x:f>COUNTIFS('Test Cases'!$C$6:$C$205,A28,'Test Cases'!$O$6:$O$205,"Not Run")</x:f>
        <x:v>2</x:v>
      </x:c>
      <x:c r="J28" s="114" t="str">
        <x:f>IF(F28&gt;0,"Covered","Gap")</x:f>
        <x:v>Covered</x:v>
      </x:c>
      <x:c r="K28" s="115" t="str">
        <x:f>IF(H28&gt;0,"Fail",IF(F28=0,"Gap",IF(G28=F28,"Pass","Pending")))</x:f>
        <x:v>Pending</x:v>
      </x:c>
    </x:row>
    <x:row r="29" ht="38" customHeight="1">
      <x:c r="A29" s="113" t="str">
        <x:v>REQ-UI-01</x:v>
      </x:c>
      <x:c r="B29" s="114" t="str">
        <x:v>UI/Responsive</x:v>
      </x:c>
      <x:c r="C29" s="114" t="str">
        <x:v>Responsive บน Mobile/Desktop/Large screen</x:v>
      </x:c>
      <x:c r="D29" s="114" t="str">
        <x:v>System/UX</x:v>
      </x:c>
      <x:c r="E29" s="114" t="str">
        <x:v>High</x:v>
      </x:c>
      <x:c r="F29" s="114" t="n">
        <x:f>COUNTIF('Test Cases'!$C$6:$C$205,A29)</x:f>
        <x:v>3</x:v>
      </x:c>
      <x:c r="G29" s="114" t="n">
        <x:f>COUNTIFS('Test Cases'!$C$6:$C$205,A29,'Test Cases'!$O$6:$O$205,"Pass")</x:f>
        <x:v>0</x:v>
      </x:c>
      <x:c r="H29" s="114" t="n">
        <x:f>COUNTIFS('Test Cases'!$C$6:$C$205,A29,'Test Cases'!$O$6:$O$205,"Fail")</x:f>
        <x:v>0</x:v>
      </x:c>
      <x:c r="I29" s="114" t="n">
        <x:f>COUNTIFS('Test Cases'!$C$6:$C$205,A29,'Test Cases'!$O$6:$O$205,"Not Run")</x:f>
        <x:v>3</x:v>
      </x:c>
      <x:c r="J29" s="114" t="str">
        <x:f>IF(F29&gt;0,"Covered","Gap")</x:f>
        <x:v>Covered</x:v>
      </x:c>
      <x:c r="K29" s="115" t="str">
        <x:f>IF(H29&gt;0,"Fail",IF(F29=0,"Gap",IF(G29=F29,"Pass","Pending")))</x:f>
        <x:v>Pending</x:v>
      </x:c>
    </x:row>
    <x:row r="30" ht="38" customHeight="1">
      <x:c r="A30" s="113" t="str">
        <x:v>REQ-UI-02</x:v>
      </x:c>
      <x:c r="B30" s="114" t="str">
        <x:v>UI/Responsive</x:v>
      </x:c>
      <x:c r="C30" s="114" t="str">
        <x:v>ข้อความอ่านง่าย ใช้ถ้อยคำธุรกิจ และเข้าถึงด้วยคีย์บอร์ด</x:v>
      </x:c>
      <x:c r="D30" s="114" t="str">
        <x:v>System/UX</x:v>
      </x:c>
      <x:c r="E30" s="114" t="str">
        <x:v>High</x:v>
      </x:c>
      <x:c r="F30" s="114" t="n">
        <x:f>COUNTIF('Test Cases'!$C$6:$C$205,A30)</x:f>
        <x:v>3</x:v>
      </x:c>
      <x:c r="G30" s="114" t="n">
        <x:f>COUNTIFS('Test Cases'!$C$6:$C$205,A30,'Test Cases'!$O$6:$O$205,"Pass")</x:f>
        <x:v>0</x:v>
      </x:c>
      <x:c r="H30" s="114" t="n">
        <x:f>COUNTIFS('Test Cases'!$C$6:$C$205,A30,'Test Cases'!$O$6:$O$205,"Fail")</x:f>
        <x:v>0</x:v>
      </x:c>
      <x:c r="I30" s="114" t="n">
        <x:f>COUNTIFS('Test Cases'!$C$6:$C$205,A30,'Test Cases'!$O$6:$O$205,"Not Run")</x:f>
        <x:v>3</x:v>
      </x:c>
      <x:c r="J30" s="114" t="str">
        <x:f>IF(F30&gt;0,"Covered","Gap")</x:f>
        <x:v>Covered</x:v>
      </x:c>
      <x:c r="K30" s="115" t="str">
        <x:f>IF(H30&gt;0,"Fail",IF(F30=0,"Gap",IF(G30=F30,"Pass","Pending")))</x:f>
        <x:v>Pending</x:v>
      </x:c>
    </x:row>
    <x:row r="31" ht="38" customHeight="1">
      <x:c r="A31" s="113" t="str">
        <x:v>REQ-SEC-01</x:v>
      </x:c>
      <x:c r="B31" s="114" t="str">
        <x:v>Backend &amp; Security</x:v>
      </x:c>
      <x:c r="C31" s="114" t="str">
        <x:v>RLS จำกัดข้อมูลตามบทบาทและไซต์</x:v>
      </x:c>
      <x:c r="D31" s="114" t="str">
        <x:v>Technical Requirement</x:v>
      </x:c>
      <x:c r="E31" s="114" t="str">
        <x:v>Critical</x:v>
      </x:c>
      <x:c r="F31" s="114" t="n">
        <x:f>COUNTIF('Test Cases'!$C$6:$C$205,A31)</x:f>
        <x:v>4</x:v>
      </x:c>
      <x:c r="G31" s="114" t="n">
        <x:f>COUNTIFS('Test Cases'!$C$6:$C$205,A31,'Test Cases'!$O$6:$O$205,"Pass")</x:f>
        <x:v>0</x:v>
      </x:c>
      <x:c r="H31" s="114" t="n">
        <x:f>COUNTIFS('Test Cases'!$C$6:$C$205,A31,'Test Cases'!$O$6:$O$205,"Fail")</x:f>
        <x:v>0</x:v>
      </x:c>
      <x:c r="I31" s="114" t="n">
        <x:f>COUNTIFS('Test Cases'!$C$6:$C$205,A31,'Test Cases'!$O$6:$O$205,"Not Run")</x:f>
        <x:v>4</x:v>
      </x:c>
      <x:c r="J31" s="114" t="str">
        <x:f>IF(F31&gt;0,"Covered","Gap")</x:f>
        <x:v>Covered</x:v>
      </x:c>
      <x:c r="K31" s="115" t="str">
        <x:f>IF(H31&gt;0,"Fail",IF(F31=0,"Gap",IF(G31=F31,"Pass","Pending")))</x:f>
        <x:v>Pending</x:v>
      </x:c>
    </x:row>
    <x:row r="32" ht="38" customHeight="1">
      <x:c r="A32" s="113" t="str">
        <x:v>REQ-SEC-02</x:v>
      </x:c>
      <x:c r="B32" s="114" t="str">
        <x:v>Backend &amp; Security</x:v>
      </x:c>
      <x:c r="C32" s="114" t="str">
        <x:v>Policy/trigger รักษา workflow และ data integrity</x:v>
      </x:c>
      <x:c r="D32" s="114" t="str">
        <x:v>Technical Requirement</x:v>
      </x:c>
      <x:c r="E32" s="114" t="str">
        <x:v>Critical</x:v>
      </x:c>
      <x:c r="F32" s="114" t="n">
        <x:f>COUNTIF('Test Cases'!$C$6:$C$205,A32)</x:f>
        <x:v>4</x:v>
      </x:c>
      <x:c r="G32" s="114" t="n">
        <x:f>COUNTIFS('Test Cases'!$C$6:$C$205,A32,'Test Cases'!$O$6:$O$205,"Pass")</x:f>
        <x:v>0</x:v>
      </x:c>
      <x:c r="H32" s="114" t="n">
        <x:f>COUNTIFS('Test Cases'!$C$6:$C$205,A32,'Test Cases'!$O$6:$O$205,"Fail")</x:f>
        <x:v>0</x:v>
      </x:c>
      <x:c r="I32" s="114" t="n">
        <x:f>COUNTIFS('Test Cases'!$C$6:$C$205,A32,'Test Cases'!$O$6:$O$205,"Not Run")</x:f>
        <x:v>4</x:v>
      </x:c>
      <x:c r="J32" s="114" t="str">
        <x:f>IF(F32&gt;0,"Covered","Gap")</x:f>
        <x:v>Covered</x:v>
      </x:c>
      <x:c r="K32" s="115" t="str">
        <x:f>IF(H32&gt;0,"Fail",IF(F32=0,"Gap",IF(G32=F32,"Pass","Pending")))</x:f>
        <x:v>Pending</x:v>
      </x:c>
    </x:row>
    <x:row r="33" ht="38" customHeight="1">
      <x:c r="A33" s="113" t="str">
        <x:v>REQ-SEC-03</x:v>
      </x:c>
      <x:c r="B33" s="114" t="str">
        <x:v>Backend &amp; Security</x:v>
      </x:c>
      <x:c r="C33" s="114" t="str">
        <x:v>Storage private, signed URL และไม่เปิดเผย secret</x:v>
      </x:c>
      <x:c r="D33" s="114" t="str">
        <x:v>Technical Requirement</x:v>
      </x:c>
      <x:c r="E33" s="114" t="str">
        <x:v>Critical</x:v>
      </x:c>
      <x:c r="F33" s="114" t="n">
        <x:f>COUNTIF('Test Cases'!$C$6:$C$205,A33)</x:f>
        <x:v>3</x:v>
      </x:c>
      <x:c r="G33" s="114" t="n">
        <x:f>COUNTIFS('Test Cases'!$C$6:$C$205,A33,'Test Cases'!$O$6:$O$205,"Pass")</x:f>
        <x:v>0</x:v>
      </x:c>
      <x:c r="H33" s="114" t="n">
        <x:f>COUNTIFS('Test Cases'!$C$6:$C$205,A33,'Test Cases'!$O$6:$O$205,"Fail")</x:f>
        <x:v>0</x:v>
      </x:c>
      <x:c r="I33" s="114" t="n">
        <x:f>COUNTIFS('Test Cases'!$C$6:$C$205,A33,'Test Cases'!$O$6:$O$205,"Not Run")</x:f>
        <x:v>3</x:v>
      </x:c>
      <x:c r="J33" s="114" t="str">
        <x:f>IF(F33&gt;0,"Covered","Gap")</x:f>
        <x:v>Covered</x:v>
      </x:c>
      <x:c r="K33" s="115" t="str">
        <x:f>IF(H33&gt;0,"Fail",IF(F33=0,"Gap",IF(G33=F33,"Pass","Pending")))</x:f>
        <x:v>Pending</x:v>
      </x:c>
    </x:row>
    <x:row r="34" ht="38" customHeight="1">
      <x:c r="A34" s="113" t="str">
        <x:v>REQ-DEPLOY-01</x:v>
      </x:c>
      <x:c r="B34" s="114" t="str">
        <x:v>Build &amp; Deployment</x:v>
      </x:c>
      <x:c r="C34" s="114" t="str">
        <x:v>Quality gate: lint/test/build</x:v>
      </x:c>
      <x:c r="D34" s="114" t="str">
        <x:v>Technical Requirement</x:v>
      </x:c>
      <x:c r="E34" s="114" t="str">
        <x:v>Critical</x:v>
      </x:c>
      <x:c r="F34" s="114" t="n">
        <x:f>COUNTIF('Test Cases'!$C$6:$C$205,A34)</x:f>
        <x:v>3</x:v>
      </x:c>
      <x:c r="G34" s="114" t="n">
        <x:f>COUNTIFS('Test Cases'!$C$6:$C$205,A34,'Test Cases'!$O$6:$O$205,"Pass")</x:f>
        <x:v>0</x:v>
      </x:c>
      <x:c r="H34" s="114" t="n">
        <x:f>COUNTIFS('Test Cases'!$C$6:$C$205,A34,'Test Cases'!$O$6:$O$205,"Fail")</x:f>
        <x:v>0</x:v>
      </x:c>
      <x:c r="I34" s="114" t="n">
        <x:f>COUNTIFS('Test Cases'!$C$6:$C$205,A34,'Test Cases'!$O$6:$O$205,"Not Run")</x:f>
        <x:v>3</x:v>
      </x:c>
      <x:c r="J34" s="114" t="str">
        <x:f>IF(F34&gt;0,"Covered","Gap")</x:f>
        <x:v>Covered</x:v>
      </x:c>
      <x:c r="K34" s="115" t="str">
        <x:f>IF(H34&gt;0,"Fail",IF(F34=0,"Gap",IF(G34=F34,"Pass","Pending")))</x:f>
        <x:v>Pending</x:v>
      </x:c>
    </x:row>
    <x:row r="35" ht="38" customHeight="1">
      <x:c r="A35" s="116" t="str">
        <x:v>REQ-DEPLOY-02</x:v>
      </x:c>
      <x:c r="B35" s="117" t="str">
        <x:v>Build &amp; Deployment</x:v>
      </x:c>
      <x:c r="C35" s="117" t="str">
        <x:v>Deploy GitHub Pages ที่ base path ถูกต้อง</x:v>
      </x:c>
      <x:c r="D35" s="117" t="str">
        <x:v>Technical Requirement</x:v>
      </x:c>
      <x:c r="E35" s="117" t="str">
        <x:v>Critical</x:v>
      </x:c>
      <x:c r="F35" s="117" t="n">
        <x:f>COUNTIF('Test Cases'!$C$6:$C$205,A35)</x:f>
        <x:v>2</x:v>
      </x:c>
      <x:c r="G35" s="117" t="n">
        <x:f>COUNTIFS('Test Cases'!$C$6:$C$205,A35,'Test Cases'!$O$6:$O$205,"Pass")</x:f>
        <x:v>0</x:v>
      </x:c>
      <x:c r="H35" s="117" t="n">
        <x:f>COUNTIFS('Test Cases'!$C$6:$C$205,A35,'Test Cases'!$O$6:$O$205,"Fail")</x:f>
        <x:v>0</x:v>
      </x:c>
      <x:c r="I35" s="117" t="n">
        <x:f>COUNTIFS('Test Cases'!$C$6:$C$205,A35,'Test Cases'!$O$6:$O$205,"Not Run")</x:f>
        <x:v>2</x:v>
      </x:c>
      <x:c r="J35" s="117" t="str">
        <x:f>IF(F35&gt;0,"Covered","Gap")</x:f>
        <x:v>Covered</x:v>
      </x:c>
      <x:c r="K35" s="118" t="str">
        <x:f>IF(H35&gt;0,"Fail",IF(F35=0,"Gap",IF(G35=F35,"Pass","Pending")))</x:f>
        <x:v>Pending</x:v>
      </x:c>
    </x:row>
  </x:sheetData>
  <x:mergeCells>
    <x:mergeCell ref="A1:K1"/>
    <x:mergeCell ref="A2:K2"/>
  </x:mergeCells>
  <x:conditionalFormatting sqref="K5:K35">
    <x:cfRule type="containsText" dxfId="18" priority="1" operator="containsText" text="Pass"/>
    <x:cfRule type="containsText" dxfId="19" priority="2" operator="containsText" text="Fail"/>
    <x:cfRule type="containsText" dxfId="20" priority="3" operator="containsText" text="Blocked"/>
    <x:cfRule type="containsText" dxfId="21" priority="4" operator="containsText" text="In Progress"/>
    <x:cfRule type="containsText" dxfId="22" priority="5" operator="containsText" text="Not Run"/>
  </x:conditionalFormatting>
  <x:conditionalFormatting sqref="J5:J35">
    <x:cfRule type="containsText" dxfId="23" priority="6" operator="containsText" text="Covered"/>
    <x:cfRule type="containsText" dxfId="24" priority="7" operator="containsText" text="Gap"/>
  </x:conditionalFormatting>
  <x:pageMargins left="0.7" right="0.7" top="0.75" bottom="0.75" header="0.3" footer="0.3"/>
  <x:tableParts count="1">
    <x:tablePart xmlns:r="http://schemas.openxmlformats.org/officeDocument/2006/relationships" r:id="Rab01d2c1ff1044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32" hidden="0" customWidth="1"/>
    <x:col min="5" max="5" width="26" hidden="0" customWidth="1"/>
    <x:col min="6" max="6" width="30" hidden="0" customWidth="1"/>
    <x:col min="7" max="7" width="18" hidden="0" customWidth="1"/>
    <x:col min="8" max="8" width="38" hidden="0" customWidth="1"/>
  </x:cols>
  <x:sheetData>
    <x:row r="1" ht="38" customHeight="1">
      <x:c r="A1" s="4" t="str">
        <x:v>Test Data Catalog</x:v>
      </x:c>
      <x:c r="B1" s="4" t="str">
        <x:v>Test Data Catalog</x:v>
      </x:c>
      <x:c r="C1" s="4" t="str">
        <x:v>Test Data Catalog</x:v>
      </x:c>
      <x:c r="D1" s="4" t="str">
        <x:v>Test Data Catalog</x:v>
      </x:c>
      <x:c r="E1" s="4" t="str">
        <x:v>Test Data Catalog</x:v>
      </x:c>
      <x:c r="F1" s="4" t="str">
        <x:v>Test Data Catalog</x:v>
      </x:c>
      <x:c r="G1" s="4" t="str">
        <x:v>Test Data Catalog</x:v>
      </x:c>
      <x:c r="H1" s="4" t="str">
        <x:v>Test Data Catalog</x:v>
      </x:c>
    </x:row>
    <x:row r="2" ht="24" customHeight="1">
      <x:c r="A2" s="8" t="str">
        <x:v>ข้อมูลตัวอย่างสำหรับทดสอบเท่านั้น ห้ามใช้บัญชีหรือข้อมูลจริงของลูกค้าในไฟล์นี้</x:v>
      </x:c>
      <x:c r="B2" s="8" t="str">
        <x:v>ข้อมูลตัวอย่างสำหรับทดสอบเท่านั้น ห้ามใช้บัญชีหรือข้อมูลจริงของลูกค้าในไฟล์นี้</x:v>
      </x:c>
      <x:c r="C2" s="8" t="str">
        <x:v>ข้อมูลตัวอย่างสำหรับทดสอบเท่านั้น ห้ามใช้บัญชีหรือข้อมูลจริงของลูกค้าในไฟล์นี้</x:v>
      </x:c>
      <x:c r="D2" s="8" t="str">
        <x:v>ข้อมูลตัวอย่างสำหรับทดสอบเท่านั้น ห้ามใช้บัญชีหรือข้อมูลจริงของลูกค้าในไฟล์นี้</x:v>
      </x:c>
      <x:c r="E2" s="8" t="str">
        <x:v>ข้อมูลตัวอย่างสำหรับทดสอบเท่านั้น ห้ามใช้บัญชีหรือข้อมูลจริงของลูกค้าในไฟล์นี้</x:v>
      </x:c>
      <x:c r="F2" s="8" t="str">
        <x:v>ข้อมูลตัวอย่างสำหรับทดสอบเท่านั้น ห้ามใช้บัญชีหรือข้อมูลจริงของลูกค้าในไฟล์นี้</x:v>
      </x:c>
      <x:c r="G2" s="8" t="str">
        <x:v>ข้อมูลตัวอย่างสำหรับทดสอบเท่านั้น ห้ามใช้บัญชีหรือข้อมูลจริงของลูกค้าในไฟล์นี้</x:v>
      </x:c>
      <x:c r="H2" s="8" t="str">
        <x:v>ข้อมูลตัวอย่างสำหรับทดสอบเท่านั้น ห้ามใช้บัญชีหรือข้อมูลจริงของลูกค้าในไฟล์นี้</x:v>
      </x:c>
    </x:row>
    <x:row r="4" ht="30" customHeight="1">
      <x:c r="A4" s="89" t="str">
        <x:v>Data ID</x:v>
      </x:c>
      <x:c r="B4" s="90" t="str">
        <x:v>Category</x:v>
      </x:c>
      <x:c r="C4" s="90" t="str">
        <x:v>Name</x:v>
      </x:c>
      <x:c r="D4" s="90" t="str">
        <x:v>Value / Example</x:v>
      </x:c>
      <x:c r="E4" s="90" t="str">
        <x:v>Used By</x:v>
      </x:c>
      <x:c r="F4" s="90" t="str">
        <x:v>Expected Use</x:v>
      </x:c>
      <x:c r="G4" s="90" t="str">
        <x:v>Sensitivity</x:v>
      </x:c>
      <x:c r="H4" s="91" t="str">
        <x:v>Notes</x:v>
      </x:c>
    </x:row>
    <x:row r="5" ht="42" customHeight="1">
      <x:c r="A5" s="110" t="str">
        <x:v>TD-ACC-001</x:v>
      </x:c>
      <x:c r="B5" s="111" t="str">
        <x:v>Account</x:v>
      </x:c>
      <x:c r="C5" s="111" t="str">
        <x:v>Admin demo</x:v>
      </x:c>
      <x:c r="D5" s="111" t="str">
        <x:v>admin / demo123</x:v>
      </x:c>
      <x:c r="E5" s="111" t="str">
        <x:v>TC-AUTH-001</x:v>
      </x:c>
      <x:c r="F5" s="111" t="str">
        <x:v>สิทธิ์ทุกไซต์และอนุมัติรายงาน</x:v>
      </x:c>
      <x:c r="G5" s="111" t="str">
        <x:v>Demo credential</x:v>
      </x:c>
      <x:c r="H5" s="112" t="str">
        <x:v>บัญชีทดสอบใน source</x:v>
      </x:c>
    </x:row>
    <x:row r="6" ht="42" customHeight="1">
      <x:c r="A6" s="113" t="str">
        <x:v>TD-ACC-002</x:v>
      </x:c>
      <x:c r="B6" s="114" t="str">
        <x:v>Account</x:v>
      </x:c>
      <x:c r="C6" s="114" t="str">
        <x:v>Engineer demo</x:v>
      </x:c>
      <x:c r="D6" s="114" t="str">
        <x:v>engineer / demo123</x:v>
      </x:c>
      <x:c r="E6" s="114" t="str">
        <x:v>TC-AUTH-002</x:v>
      </x:c>
      <x:c r="F6" s="114" t="str">
        <x:v>site-001 และ site-002; จัดการงาน/รายงาน</x:v>
      </x:c>
      <x:c r="G6" s="114" t="str">
        <x:v>Demo credential</x:v>
      </x:c>
      <x:c r="H6" s="115" t="str">
        <x:v>บัญชีทดสอบใน source</x:v>
      </x:c>
    </x:row>
    <x:row r="7" ht="42" customHeight="1">
      <x:c r="A7" s="113" t="str">
        <x:v>TD-ACC-003</x:v>
      </x:c>
      <x:c r="B7" s="114" t="str">
        <x:v>Account</x:v>
      </x:c>
      <x:c r="C7" s="114" t="str">
        <x:v>Viewer demo</x:v>
      </x:c>
      <x:c r="D7" s="114" t="str">
        <x:v>user / demo123</x:v>
      </x:c>
      <x:c r="E7" s="114" t="str">
        <x:v>TC-AUTH-003</x:v>
      </x:c>
      <x:c r="F7" s="114" t="str">
        <x:v>site-001; read-only</x:v>
      </x:c>
      <x:c r="G7" s="114" t="str">
        <x:v>Demo credential</x:v>
      </x:c>
      <x:c r="H7" s="115" t="str">
        <x:v>บัญชีทดสอบใน source</x:v>
      </x:c>
    </x:row>
    <x:row r="8" ht="42" customHeight="1">
      <x:c r="A8" s="113" t="str">
        <x:v>TD-SITE-001</x:v>
      </x:c>
      <x:c r="B8" s="114" t="str">
        <x:v>Jobsite</x:v>
      </x:c>
      <x:c r="C8" s="114" t="str">
        <x:v>Primary site</x:v>
      </x:c>
      <x:c r="D8" s="114" t="str">
        <x:v>site-001</x:v>
      </x:c>
      <x:c r="E8" s="114" t="str">
        <x:v>Site scoped tests</x:v>
      </x:c>
      <x:c r="F8" s="114" t="str">
        <x:v>ไซต์หลักสำหรับ UAT</x:v>
      </x:c>
      <x:c r="G8" s="114" t="str">
        <x:v>Internal</x:v>
      </x:c>
      <x:c r="H8" s="115" t="str">
        <x:v>ใช้ข้อมูลที่ไม่ระบุตัวบุคคล</x:v>
      </x:c>
    </x:row>
    <x:row r="9" ht="42" customHeight="1">
      <x:c r="A9" s="113" t="str">
        <x:v>TD-SITE-002</x:v>
      </x:c>
      <x:c r="B9" s="114" t="str">
        <x:v>Jobsite</x:v>
      </x:c>
      <x:c r="C9" s="114" t="str">
        <x:v>Secondary site</x:v>
      </x:c>
      <x:c r="D9" s="114" t="str">
        <x:v>site-002</x:v>
      </x:c>
      <x:c r="E9" s="114" t="str">
        <x:v>Cross-site tests</x:v>
      </x:c>
      <x:c r="F9" s="114" t="str">
        <x:v>ตรวจ data isolation</x:v>
      </x:c>
      <x:c r="G9" s="114" t="str">
        <x:v>Internal</x:v>
      </x:c>
      <x:c r="H9" s="115" t="str">
        <x:v>ต้องมีข้อมูลต่างจาก site-001</x:v>
      </x:c>
    </x:row>
    <x:row r="10" ht="42" customHeight="1">
      <x:c r="A10" s="113" t="str">
        <x:v>TD-PLAN-001</x:v>
      </x:c>
      <x:c r="B10" s="114" t="str">
        <x:v>PM Plan</x:v>
      </x:c>
      <x:c r="C10" s="114" t="str">
        <x:v>Monthly plan</x:v>
      </x:c>
      <x:c r="D10" s="114" t="str">
        <x:v>1,200 hours / 12 cycles</x:v>
      </x:c>
      <x:c r="E10" s="114" t="str">
        <x:v>TC-PLAN-001</x:v>
      </x:c>
      <x:c r="F10" s="114" t="str">
        <x:v>รอบละ 100</x:v>
      </x:c>
      <x:c r="G10" s="114" t="str">
        <x:v>Non-sensitive</x:v>
      </x:c>
      <x:c r="H10" s="115" t="str">
        <x:v>ผลรวมต้องเท่ากับเป้าหมาย</x:v>
      </x:c>
    </x:row>
    <x:row r="11" ht="42" customHeight="1">
      <x:c r="A11" s="113" t="str">
        <x:v>TD-PLAN-002</x:v>
      </x:c>
      <x:c r="B11" s="114" t="str">
        <x:v>PM Plan</x:v>
      </x:c>
      <x:c r="C11" s="114" t="str">
        <x:v>Bi-monthly plan</x:v>
      </x:c>
      <x:c r="D11" s="114" t="str">
        <x:v>180 hours / 6 cycles</x:v>
      </x:c>
      <x:c r="E11" s="114" t="str">
        <x:v>TC-PLAN-002</x:v>
      </x:c>
      <x:c r="F11" s="114" t="str">
        <x:v>รอบละ 30</x:v>
      </x:c>
      <x:c r="G11" s="114" t="str">
        <x:v>Non-sensitive</x:v>
      </x:c>
      <x:c r="H11" s="115" t="str">
        <x:v>ทดสอบความถี่ 2 เดือน</x:v>
      </x:c>
    </x:row>
    <x:row r="12" ht="42" customHeight="1">
      <x:c r="A12" s="113" t="str">
        <x:v>TD-PLAN-003</x:v>
      </x:c>
      <x:c r="B12" s="114" t="str">
        <x:v>PM Plan</x:v>
      </x:c>
      <x:c r="C12" s="114" t="str">
        <x:v>Remainder plan</x:v>
      </x:c>
      <x:c r="D12" s="114" t="str">
        <x:v>101 hours / 12 cycles</x:v>
      </x:c>
      <x:c r="E12" s="114" t="str">
        <x:v>TC-PLAN-004</x:v>
      </x:c>
      <x:c r="F12" s="114" t="str">
        <x:v>ทดสอบเศษในรอบสุดท้าย</x:v>
      </x:c>
      <x:c r="G12" s="114" t="str">
        <x:v>Non-sensitive</x:v>
      </x:c>
      <x:c r="H12" s="115" t="str">
        <x:v>ห้ามเกิดผลรวม 100 หรือ 102</x:v>
      </x:c>
    </x:row>
    <x:row r="13" ht="42" customHeight="1">
      <x:c r="A13" s="113" t="str">
        <x:v>TD-FILE-001</x:v>
      </x:c>
      <x:c r="B13" s="114" t="str">
        <x:v>Attachment</x:v>
      </x:c>
      <x:c r="C13" s="114" t="str">
        <x:v>Valid JPG</x:v>
      </x:c>
      <x:c r="D13" s="114" t="str">
        <x:v>valid-photo.jpg &lt;= 1 MB</x:v>
      </x:c>
      <x:c r="E13" s="114" t="str">
        <x:v>Service Report photo</x:v>
      </x:c>
      <x:c r="F13" s="114" t="str">
        <x:v>อัปโหลดสำเร็จ</x:v>
      </x:c>
      <x:c r="G13" s="114" t="str">
        <x:v>Synthetic</x:v>
      </x:c>
      <x:c r="H13" s="115" t="str">
        <x:v>ภาพสถานที่จำลอง</x:v>
      </x:c>
    </x:row>
    <x:row r="14" ht="42" customHeight="1">
      <x:c r="A14" s="113" t="str">
        <x:v>TD-FILE-002</x:v>
      </x:c>
      <x:c r="B14" s="114" t="str">
        <x:v>Attachment</x:v>
      </x:c>
      <x:c r="C14" s="114" t="str">
        <x:v>Valid PNG</x:v>
      </x:c>
      <x:c r="D14" s="114" t="str">
        <x:v>valid-photo.png &lt;= 1 MB</x:v>
      </x:c>
      <x:c r="E14" s="114" t="str">
        <x:v>Service Report photo</x:v>
      </x:c>
      <x:c r="F14" s="114" t="str">
        <x:v>อัปโหลดสำเร็จ</x:v>
      </x:c>
      <x:c r="G14" s="114" t="str">
        <x:v>Synthetic</x:v>
      </x:c>
      <x:c r="H14" s="115" t="str">
        <x:v>ภาพสถานที่จำลอง</x:v>
      </x:c>
    </x:row>
    <x:row r="15" ht="42" customHeight="1">
      <x:c r="A15" s="113" t="str">
        <x:v>TD-FILE-003</x:v>
      </x:c>
      <x:c r="B15" s="114" t="str">
        <x:v>Attachment</x:v>
      </x:c>
      <x:c r="C15" s="114" t="str">
        <x:v>Oversize JPG</x:v>
      </x:c>
      <x:c r="D15" s="114" t="str">
        <x:v>large-photo.jpg &gt; 2 MB</x:v>
      </x:c>
      <x:c r="E15" s="114" t="str">
        <x:v>Negative upload</x:v>
      </x:c>
      <x:c r="F15" s="114" t="str">
        <x:v>ถูกปฏิเสธ</x:v>
      </x:c>
      <x:c r="G15" s="114" t="str">
        <x:v>Synthetic</x:v>
      </x:c>
      <x:c r="H15" s="115" t="str">
        <x:v>ไม่ใช้รูปจริงของลูกค้า</x:v>
      </x:c>
    </x:row>
    <x:row r="16" ht="42" customHeight="1">
      <x:c r="A16" s="113" t="str">
        <x:v>TD-FILE-004</x:v>
      </x:c>
      <x:c r="B16" s="114" t="str">
        <x:v>Attachment</x:v>
      </x:c>
      <x:c r="C16" s="114" t="str">
        <x:v>Unsupported file</x:v>
      </x:c>
      <x:c r="D16" s="114" t="str">
        <x:v>sample.exe / sample.pdf</x:v>
      </x:c>
      <x:c r="E16" s="114" t="str">
        <x:v>Security upload</x:v>
      </x:c>
      <x:c r="F16" s="114" t="str">
        <x:v>ถูกปฏิเสธ</x:v>
      </x:c>
      <x:c r="G16" s="114" t="str">
        <x:v>Synthetic</x:v>
      </x:c>
      <x:c r="H16" s="115" t="str">
        <x:v>ใช้ไฟล์ dummy ปลอดภัย</x:v>
      </x:c>
    </x:row>
    <x:row r="17" ht="42" customHeight="1">
      <x:c r="A17" s="113" t="str">
        <x:v>TD-IOT-001</x:v>
      </x:c>
      <x:c r="B17" s="114" t="str">
        <x:v>Telemetry</x:v>
      </x:c>
      <x:c r="C17" s="114" t="str">
        <x:v>Online asset</x:v>
      </x:c>
      <x:c r="D17" s="114" t="str">
        <x:v>timestamp &lt;= threshold</x:v>
      </x:c>
      <x:c r="E17" s="114" t="str">
        <x:v>IoT Monitoring</x:v>
      </x:c>
      <x:c r="F17" s="114" t="str">
        <x:v>สถานะ Online</x:v>
      </x:c>
      <x:c r="G17" s="114" t="str">
        <x:v>Synthetic</x:v>
      </x:c>
      <x:c r="H17" s="115" t="str">
        <x:v>ค่าอุณหภูมิ/แรงดันจำลอง</x:v>
      </x:c>
    </x:row>
    <x:row r="18" ht="42" customHeight="1">
      <x:c r="A18" s="113" t="str">
        <x:v>TD-IOT-002</x:v>
      </x:c>
      <x:c r="B18" s="114" t="str">
        <x:v>Telemetry</x:v>
      </x:c>
      <x:c r="C18" s="114" t="str">
        <x:v>Offline asset</x:v>
      </x:c>
      <x:c r="D18" s="114" t="str">
        <x:v>timestamp &gt; threshold</x:v>
      </x:c>
      <x:c r="E18" s="114" t="str">
        <x:v>IoT Monitoring</x:v>
      </x:c>
      <x:c r="F18" s="114" t="str">
        <x:v>สถานะ Offline</x:v>
      </x:c>
      <x:c r="G18" s="114" t="str">
        <x:v>Synthetic</x:v>
      </x:c>
      <x:c r="H18" s="115" t="str">
        <x:v>ไม่ต้องรอจริง ให้ seed timestamp</x:v>
      </x:c>
    </x:row>
    <x:row r="19" ht="42" customHeight="1">
      <x:c r="A19" s="113" t="str">
        <x:v>TD-ENV-001</x:v>
      </x:c>
      <x:c r="B19" s="114" t="str">
        <x:v>Environment</x:v>
      </x:c>
      <x:c r="C19" s="114" t="str">
        <x:v>Supabase URL</x:v>
      </x:c>
      <x:c r="D19" s="114" t="str">
        <x:v>VITE_SUPABASE_URL</x:v>
      </x:c>
      <x:c r="E19" s="114" t="str">
        <x:v>Integration/UAT</x:v>
      </x:c>
      <x:c r="F19" s="114" t="str">
        <x:v>ใช้ project ทดสอบ</x:v>
      </x:c>
      <x:c r="G19" s="114" t="str">
        <x:v>Secret-adjacent</x:v>
      </x:c>
      <x:c r="H19" s="115" t="str">
        <x:v>บันทึกเฉพาะชื่อตัวแปร ไม่ใส่ค่าจริง</x:v>
      </x:c>
    </x:row>
    <x:row r="20" ht="42" customHeight="1">
      <x:c r="A20" s="116" t="str">
        <x:v>TD-ENV-002</x:v>
      </x:c>
      <x:c r="B20" s="117" t="str">
        <x:v>Environment</x:v>
      </x:c>
      <x:c r="C20" s="117" t="str">
        <x:v>Supabase anon key</x:v>
      </x:c>
      <x:c r="D20" s="117" t="str">
        <x:v>VITE_SUPABASE_ANON_KEY</x:v>
      </x:c>
      <x:c r="E20" s="117" t="str">
        <x:v>Integration/UAT</x:v>
      </x:c>
      <x:c r="F20" s="117" t="str">
        <x:v>ใช้ anon key ตาม RLS</x:v>
      </x:c>
      <x:c r="G20" s="117" t="str">
        <x:v>Secret-adjacent</x:v>
      </x:c>
      <x:c r="H20" s="118" t="str">
        <x:v>บันทึกเฉพาะชื่อตัวแปร ไม่ใส่ค่าจริง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22d5628bfae4c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16" hidden="0" customWidth="1"/>
    <x:col min="4" max="4" width="20" hidden="0" customWidth="1"/>
    <x:col min="5" max="5" width="15" hidden="0" customWidth="1"/>
    <x:col min="6" max="6" width="12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7" hidden="0" customWidth="1"/>
    <x:col min="13" max="13" width="15" hidden="0" customWidth="1"/>
    <x:col min="14" max="14" width="32" hidden="0" customWidth="1"/>
    <x:col min="15" max="15" width="28" hidden="0" customWidth="1"/>
    <x:col min="16" max="16" width="30" hidden="0" customWidth="1"/>
  </x:cols>
  <x:sheetData>
    <x:row r="1" ht="38" customHeight="1">
      <x:c r="A1" s="4" t="str">
        <x:v>Defect Log</x:v>
      </x:c>
      <x:c r="B1" s="4" t="str">
        <x:v>Defect Log</x:v>
      </x:c>
      <x:c r="C1" s="4" t="str">
        <x:v>Defect Log</x:v>
      </x:c>
      <x:c r="D1" s="4" t="str">
        <x:v>Defect Log</x:v>
      </x:c>
      <x:c r="E1" s="4" t="str">
        <x:v>Defect Log</x:v>
      </x:c>
      <x:c r="F1" s="4" t="str">
        <x:v>Defect Log</x:v>
      </x:c>
      <x:c r="G1" s="4" t="str">
        <x:v>Defect Log</x:v>
      </x:c>
      <x:c r="H1" s="4" t="str">
        <x:v>Defect Log</x:v>
      </x:c>
      <x:c r="I1" s="4" t="str">
        <x:v>Defect Log</x:v>
      </x:c>
      <x:c r="J1" s="4" t="str">
        <x:v>Defect Log</x:v>
      </x:c>
      <x:c r="K1" s="4" t="str">
        <x:v>Defect Log</x:v>
      </x:c>
      <x:c r="L1" s="4" t="str">
        <x:v>Defect Log</x:v>
      </x:c>
      <x:c r="M1" s="4" t="str">
        <x:v>Defect Log</x:v>
      </x:c>
      <x:c r="N1" s="4" t="str">
        <x:v>Defect Log</x:v>
      </x:c>
      <x:c r="O1" s="4" t="str">
        <x:v>Defect Log</x:v>
      </x:c>
      <x:c r="P1" s="4" t="str">
        <x:v>Defect Log</x:v>
      </x:c>
    </x:row>
    <x:row r="2" ht="24" customHeight="1">
      <x:c r="A2" s="8" t="str">
        <x:v>สร้าง Defect ID เมื่อ Test Case เป็น Fail และใส่รหัสกลับไปที่ Test Cases เพื่อ Trace ได้สองทาง</x:v>
      </x:c>
      <x:c r="B2" s="8" t="str">
        <x:v>สร้าง Defect ID เมื่อ Test Case เป็น Fail และใส่รหัสกลับไปที่ Test Cases เพื่อ Trace ได้สองทาง</x:v>
      </x:c>
      <x:c r="C2" s="8" t="str">
        <x:v>สร้าง Defect ID เมื่อ Test Case เป็น Fail และใส่รหัสกลับไปที่ Test Cases เพื่อ Trace ได้สองทาง</x:v>
      </x:c>
      <x:c r="D2" s="8" t="str">
        <x:v>สร้าง Defect ID เมื่อ Test Case เป็น Fail และใส่รหัสกลับไปที่ Test Cases เพื่อ Trace ได้สองทาง</x:v>
      </x:c>
      <x:c r="E2" s="8" t="str">
        <x:v>สร้าง Defect ID เมื่อ Test Case เป็น Fail และใส่รหัสกลับไปที่ Test Cases เพื่อ Trace ได้สองทาง</x:v>
      </x:c>
      <x:c r="F2" s="8" t="str">
        <x:v>สร้าง Defect ID เมื่อ Test Case เป็น Fail และใส่รหัสกลับไปที่ Test Cases เพื่อ Trace ได้สองทาง</x:v>
      </x:c>
      <x:c r="G2" s="8" t="str">
        <x:v>สร้าง Defect ID เมื่อ Test Case เป็น Fail และใส่รหัสกลับไปที่ Test Cases เพื่อ Trace ได้สองทาง</x:v>
      </x:c>
      <x:c r="H2" s="8" t="str">
        <x:v>สร้าง Defect ID เมื่อ Test Case เป็น Fail และใส่รหัสกลับไปที่ Test Cases เพื่อ Trace ได้สองทาง</x:v>
      </x:c>
      <x:c r="I2" s="8" t="str">
        <x:v>สร้าง Defect ID เมื่อ Test Case เป็น Fail และใส่รหัสกลับไปที่ Test Cases เพื่อ Trace ได้สองทาง</x:v>
      </x:c>
      <x:c r="J2" s="8" t="str">
        <x:v>สร้าง Defect ID เมื่อ Test Case เป็น Fail และใส่รหัสกลับไปที่ Test Cases เพื่อ Trace ได้สองทาง</x:v>
      </x:c>
      <x:c r="K2" s="8" t="str">
        <x:v>สร้าง Defect ID เมื่อ Test Case เป็น Fail และใส่รหัสกลับไปที่ Test Cases เพื่อ Trace ได้สองทาง</x:v>
      </x:c>
      <x:c r="L2" s="8" t="str">
        <x:v>สร้าง Defect ID เมื่อ Test Case เป็น Fail และใส่รหัสกลับไปที่ Test Cases เพื่อ Trace ได้สองทาง</x:v>
      </x:c>
      <x:c r="M2" s="8" t="str">
        <x:v>สร้าง Defect ID เมื่อ Test Case เป็น Fail และใส่รหัสกลับไปที่ Test Cases เพื่อ Trace ได้สองทาง</x:v>
      </x:c>
      <x:c r="N2" s="8" t="str">
        <x:v>สร้าง Defect ID เมื่อ Test Case เป็น Fail และใส่รหัสกลับไปที่ Test Cases เพื่อ Trace ได้สองทาง</x:v>
      </x:c>
      <x:c r="O2" s="8" t="str">
        <x:v>สร้าง Defect ID เมื่อ Test Case เป็น Fail และใส่รหัสกลับไปที่ Test Cases เพื่อ Trace ได้สองทาง</x:v>
      </x:c>
      <x:c r="P2" s="8" t="str">
        <x:v>สร้าง Defect ID เมื่อ Test Case เป็น Fail และใส่รหัสกลับไปที่ Test Cases เพื่อ Trace ได้สองทาง</x:v>
      </x:c>
    </x:row>
    <x:row r="4" ht="30" customHeight="1">
      <x:c r="A4" s="89" t="str">
        <x:v>Defect ID</x:v>
      </x:c>
      <x:c r="B4" s="90" t="str">
        <x:v>Summary</x:v>
      </x:c>
      <x:c r="C4" s="90" t="str">
        <x:v>Test Case ID</x:v>
      </x:c>
      <x:c r="D4" s="90" t="str">
        <x:v>Module</x:v>
      </x:c>
      <x:c r="E4" s="90" t="str">
        <x:v>Severity</x:v>
      </x:c>
      <x:c r="F4" s="90" t="str">
        <x:v>Priority</x:v>
      </x:c>
      <x:c r="G4" s="90" t="str">
        <x:v>Status</x:v>
      </x:c>
      <x:c r="H4" s="90" t="str">
        <x:v>Environment</x:v>
      </x:c>
      <x:c r="I4" s="90" t="str">
        <x:v>Reporter</x:v>
      </x:c>
      <x:c r="J4" s="90" t="str">
        <x:v>Owner</x:v>
      </x:c>
      <x:c r="K4" s="90" t="str">
        <x:v>Found Date</x:v>
      </x:c>
      <x:c r="L4" s="90" t="str">
        <x:v>Target Fix Date</x:v>
      </x:c>
      <x:c r="M4" s="90" t="str">
        <x:v>Retest Date</x:v>
      </x:c>
      <x:c r="N4" s="90" t="str">
        <x:v>Resolution</x:v>
      </x:c>
      <x:c r="O4" s="90" t="str">
        <x:v>Evidence Link</x:v>
      </x:c>
      <x:c r="P4" s="91" t="str">
        <x:v>Notes</x:v>
      </x:c>
    </x:row>
    <x:row r="5" ht="34" customHeight="1">
      <x:c r="A5" s="110" t="str"/>
      <x:c r="B5" s="111" t="str"/>
      <x:c r="C5" s="111" t="str"/>
      <x:c r="D5" s="111" t="str"/>
      <x:c r="E5" s="111" t="str"/>
      <x:c r="F5" s="111" t="str"/>
      <x:c r="G5" s="111" t="str"/>
      <x:c r="H5" s="111" t="str"/>
      <x:c r="I5" s="111" t="str"/>
      <x:c r="J5" s="111" t="str"/>
      <x:c r="K5" s="147" t="str"/>
      <x:c r="L5" s="147" t="str"/>
      <x:c r="M5" s="147" t="str"/>
      <x:c r="N5" s="111" t="str"/>
      <x:c r="O5" s="111" t="str"/>
      <x:c r="P5" s="112" t="str"/>
    </x:row>
    <x:row r="6" ht="34" customHeight="1">
      <x:c r="A6" s="113" t="str"/>
      <x:c r="B6" s="114" t="str"/>
      <x:c r="C6" s="114" t="str"/>
      <x:c r="D6" s="114" t="str"/>
      <x:c r="E6" s="114" t="str"/>
      <x:c r="F6" s="114" t="str"/>
      <x:c r="G6" s="114" t="str"/>
      <x:c r="H6" s="114" t="str"/>
      <x:c r="I6" s="114" t="str"/>
      <x:c r="J6" s="114" t="str"/>
      <x:c r="K6" s="148" t="str"/>
      <x:c r="L6" s="148" t="str"/>
      <x:c r="M6" s="148" t="str"/>
      <x:c r="N6" s="114" t="str"/>
      <x:c r="O6" s="114" t="str"/>
      <x:c r="P6" s="115" t="str"/>
    </x:row>
    <x:row r="7" ht="34" customHeight="1">
      <x:c r="A7" s="113" t="str"/>
      <x:c r="B7" s="114" t="str"/>
      <x:c r="C7" s="114" t="str"/>
      <x:c r="D7" s="114" t="str"/>
      <x:c r="E7" s="114" t="str"/>
      <x:c r="F7" s="114" t="str"/>
      <x:c r="G7" s="114" t="str"/>
      <x:c r="H7" s="114" t="str"/>
      <x:c r="I7" s="114" t="str"/>
      <x:c r="J7" s="114" t="str"/>
      <x:c r="K7" s="148" t="str"/>
      <x:c r="L7" s="148" t="str"/>
      <x:c r="M7" s="148" t="str"/>
      <x:c r="N7" s="114" t="str"/>
      <x:c r="O7" s="114" t="str"/>
      <x:c r="P7" s="115" t="str"/>
    </x:row>
    <x:row r="8" ht="34" customHeight="1">
      <x:c r="A8" s="113" t="str"/>
      <x:c r="B8" s="114" t="str"/>
      <x:c r="C8" s="114" t="str"/>
      <x:c r="D8" s="114" t="str"/>
      <x:c r="E8" s="114" t="str"/>
      <x:c r="F8" s="114" t="str"/>
      <x:c r="G8" s="114" t="str"/>
      <x:c r="H8" s="114" t="str"/>
      <x:c r="I8" s="114" t="str"/>
      <x:c r="J8" s="114" t="str"/>
      <x:c r="K8" s="148" t="str"/>
      <x:c r="L8" s="148" t="str"/>
      <x:c r="M8" s="148" t="str"/>
      <x:c r="N8" s="114" t="str"/>
      <x:c r="O8" s="114" t="str"/>
      <x:c r="P8" s="115" t="str"/>
    </x:row>
    <x:row r="9" ht="34" customHeight="1">
      <x:c r="A9" s="113" t="str"/>
      <x:c r="B9" s="114" t="str"/>
      <x:c r="C9" s="114" t="str"/>
      <x:c r="D9" s="114" t="str"/>
      <x:c r="E9" s="114" t="str"/>
      <x:c r="F9" s="114" t="str"/>
      <x:c r="G9" s="114" t="str"/>
      <x:c r="H9" s="114" t="str"/>
      <x:c r="I9" s="114" t="str"/>
      <x:c r="J9" s="114" t="str"/>
      <x:c r="K9" s="148" t="str"/>
      <x:c r="L9" s="148" t="str"/>
      <x:c r="M9" s="148" t="str"/>
      <x:c r="N9" s="114" t="str"/>
      <x:c r="O9" s="114" t="str"/>
      <x:c r="P9" s="115" t="str"/>
    </x:row>
    <x:row r="10" ht="34" customHeight="1">
      <x:c r="A10" s="113" t="str"/>
      <x:c r="B10" s="114" t="str"/>
      <x:c r="C10" s="114" t="str"/>
      <x:c r="D10" s="114" t="str"/>
      <x:c r="E10" s="114" t="str"/>
      <x:c r="F10" s="114" t="str"/>
      <x:c r="G10" s="114" t="str"/>
      <x:c r="H10" s="114" t="str"/>
      <x:c r="I10" s="114" t="str"/>
      <x:c r="J10" s="114" t="str"/>
      <x:c r="K10" s="148" t="str"/>
      <x:c r="L10" s="148" t="str"/>
      <x:c r="M10" s="148" t="str"/>
      <x:c r="N10" s="114" t="str"/>
      <x:c r="O10" s="114" t="str"/>
      <x:c r="P10" s="115" t="str"/>
    </x:row>
    <x:row r="11" ht="34" customHeight="1">
      <x:c r="A11" s="113" t="str"/>
      <x:c r="B11" s="114" t="str"/>
      <x:c r="C11" s="114" t="str"/>
      <x:c r="D11" s="114" t="str"/>
      <x:c r="E11" s="114" t="str"/>
      <x:c r="F11" s="114" t="str"/>
      <x:c r="G11" s="114" t="str"/>
      <x:c r="H11" s="114" t="str"/>
      <x:c r="I11" s="114" t="str"/>
      <x:c r="J11" s="114" t="str"/>
      <x:c r="K11" s="148" t="str"/>
      <x:c r="L11" s="148" t="str"/>
      <x:c r="M11" s="148" t="str"/>
      <x:c r="N11" s="114" t="str"/>
      <x:c r="O11" s="114" t="str"/>
      <x:c r="P11" s="115" t="str"/>
    </x:row>
    <x:row r="12" ht="34" customHeight="1">
      <x:c r="A12" s="113" t="str"/>
      <x:c r="B12" s="114" t="str"/>
      <x:c r="C12" s="114" t="str"/>
      <x:c r="D12" s="114" t="str"/>
      <x:c r="E12" s="114" t="str"/>
      <x:c r="F12" s="114" t="str"/>
      <x:c r="G12" s="114" t="str"/>
      <x:c r="H12" s="114" t="str"/>
      <x:c r="I12" s="114" t="str"/>
      <x:c r="J12" s="114" t="str"/>
      <x:c r="K12" s="148" t="str"/>
      <x:c r="L12" s="148" t="str"/>
      <x:c r="M12" s="148" t="str"/>
      <x:c r="N12" s="114" t="str"/>
      <x:c r="O12" s="114" t="str"/>
      <x:c r="P12" s="115" t="str"/>
    </x:row>
    <x:row r="13" ht="34" customHeight="1">
      <x:c r="A13" s="113" t="str"/>
      <x:c r="B13" s="114" t="str"/>
      <x:c r="C13" s="114" t="str"/>
      <x:c r="D13" s="114" t="str"/>
      <x:c r="E13" s="114" t="str"/>
      <x:c r="F13" s="114" t="str"/>
      <x:c r="G13" s="114" t="str"/>
      <x:c r="H13" s="114" t="str"/>
      <x:c r="I13" s="114" t="str"/>
      <x:c r="J13" s="114" t="str"/>
      <x:c r="K13" s="148" t="str"/>
      <x:c r="L13" s="148" t="str"/>
      <x:c r="M13" s="148" t="str"/>
      <x:c r="N13" s="114" t="str"/>
      <x:c r="O13" s="114" t="str"/>
      <x:c r="P13" s="115" t="str"/>
    </x:row>
    <x:row r="14" ht="34" customHeight="1">
      <x:c r="A14" s="113" t="str"/>
      <x:c r="B14" s="114" t="str"/>
      <x:c r="C14" s="114" t="str"/>
      <x:c r="D14" s="114" t="str"/>
      <x:c r="E14" s="114" t="str"/>
      <x:c r="F14" s="114" t="str"/>
      <x:c r="G14" s="114" t="str"/>
      <x:c r="H14" s="114" t="str"/>
      <x:c r="I14" s="114" t="str"/>
      <x:c r="J14" s="114" t="str"/>
      <x:c r="K14" s="148" t="str"/>
      <x:c r="L14" s="148" t="str"/>
      <x:c r="M14" s="148" t="str"/>
      <x:c r="N14" s="114" t="str"/>
      <x:c r="O14" s="114" t="str"/>
      <x:c r="P14" s="115" t="str"/>
    </x:row>
    <x:row r="15" ht="34" customHeight="1">
      <x:c r="A15" s="113" t="str"/>
      <x:c r="B15" s="114" t="str"/>
      <x:c r="C15" s="114" t="str"/>
      <x:c r="D15" s="114" t="str"/>
      <x:c r="E15" s="114" t="str"/>
      <x:c r="F15" s="114" t="str"/>
      <x:c r="G15" s="114" t="str"/>
      <x:c r="H15" s="114" t="str"/>
      <x:c r="I15" s="114" t="str"/>
      <x:c r="J15" s="114" t="str"/>
      <x:c r="K15" s="148" t="str"/>
      <x:c r="L15" s="148" t="str"/>
      <x:c r="M15" s="148" t="str"/>
      <x:c r="N15" s="114" t="str"/>
      <x:c r="O15" s="114" t="str"/>
      <x:c r="P15" s="115" t="str"/>
    </x:row>
    <x:row r="16" ht="34" customHeight="1">
      <x:c r="A16" s="113" t="str"/>
      <x:c r="B16" s="114" t="str"/>
      <x:c r="C16" s="114" t="str"/>
      <x:c r="D16" s="114" t="str"/>
      <x:c r="E16" s="114" t="str"/>
      <x:c r="F16" s="114" t="str"/>
      <x:c r="G16" s="114" t="str"/>
      <x:c r="H16" s="114" t="str"/>
      <x:c r="I16" s="114" t="str"/>
      <x:c r="J16" s="114" t="str"/>
      <x:c r="K16" s="148" t="str"/>
      <x:c r="L16" s="148" t="str"/>
      <x:c r="M16" s="148" t="str"/>
      <x:c r="N16" s="114" t="str"/>
      <x:c r="O16" s="114" t="str"/>
      <x:c r="P16" s="115" t="str"/>
    </x:row>
    <x:row r="17" ht="34" customHeight="1">
      <x:c r="A17" s="113" t="str"/>
      <x:c r="B17" s="114" t="str"/>
      <x:c r="C17" s="114" t="str"/>
      <x:c r="D17" s="114" t="str"/>
      <x:c r="E17" s="114" t="str"/>
      <x:c r="F17" s="114" t="str"/>
      <x:c r="G17" s="114" t="str"/>
      <x:c r="H17" s="114" t="str"/>
      <x:c r="I17" s="114" t="str"/>
      <x:c r="J17" s="114" t="str"/>
      <x:c r="K17" s="148" t="str"/>
      <x:c r="L17" s="148" t="str"/>
      <x:c r="M17" s="148" t="str"/>
      <x:c r="N17" s="114" t="str"/>
      <x:c r="O17" s="114" t="str"/>
      <x:c r="P17" s="115" t="str"/>
    </x:row>
    <x:row r="18" ht="34" customHeight="1">
      <x:c r="A18" s="113" t="str"/>
      <x:c r="B18" s="114" t="str"/>
      <x:c r="C18" s="114" t="str"/>
      <x:c r="D18" s="114" t="str"/>
      <x:c r="E18" s="114" t="str"/>
      <x:c r="F18" s="114" t="str"/>
      <x:c r="G18" s="114" t="str"/>
      <x:c r="H18" s="114" t="str"/>
      <x:c r="I18" s="114" t="str"/>
      <x:c r="J18" s="114" t="str"/>
      <x:c r="K18" s="148" t="str"/>
      <x:c r="L18" s="148" t="str"/>
      <x:c r="M18" s="148" t="str"/>
      <x:c r="N18" s="114" t="str"/>
      <x:c r="O18" s="114" t="str"/>
      <x:c r="P18" s="115" t="str"/>
    </x:row>
    <x:row r="19" ht="34" customHeight="1">
      <x:c r="A19" s="113" t="str"/>
      <x:c r="B19" s="114" t="str"/>
      <x:c r="C19" s="114" t="str"/>
      <x:c r="D19" s="114" t="str"/>
      <x:c r="E19" s="114" t="str"/>
      <x:c r="F19" s="114" t="str"/>
      <x:c r="G19" s="114" t="str"/>
      <x:c r="H19" s="114" t="str"/>
      <x:c r="I19" s="114" t="str"/>
      <x:c r="J19" s="114" t="str"/>
      <x:c r="K19" s="148" t="str"/>
      <x:c r="L19" s="148" t="str"/>
      <x:c r="M19" s="148" t="str"/>
      <x:c r="N19" s="114" t="str"/>
      <x:c r="O19" s="114" t="str"/>
      <x:c r="P19" s="115" t="str"/>
    </x:row>
    <x:row r="20" ht="34" customHeight="1">
      <x:c r="A20" s="113" t="str"/>
      <x:c r="B20" s="114" t="str"/>
      <x:c r="C20" s="114" t="str"/>
      <x:c r="D20" s="114" t="str"/>
      <x:c r="E20" s="114" t="str"/>
      <x:c r="F20" s="114" t="str"/>
      <x:c r="G20" s="114" t="str"/>
      <x:c r="H20" s="114" t="str"/>
      <x:c r="I20" s="114" t="str"/>
      <x:c r="J20" s="114" t="str"/>
      <x:c r="K20" s="148" t="str"/>
      <x:c r="L20" s="148" t="str"/>
      <x:c r="M20" s="148" t="str"/>
      <x:c r="N20" s="114" t="str"/>
      <x:c r="O20" s="114" t="str"/>
      <x:c r="P20" s="115" t="str"/>
    </x:row>
    <x:row r="21" ht="34" customHeight="1">
      <x:c r="A21" s="113" t="str"/>
      <x:c r="B21" s="114" t="str"/>
      <x:c r="C21" s="114" t="str"/>
      <x:c r="D21" s="114" t="str"/>
      <x:c r="E21" s="114" t="str"/>
      <x:c r="F21" s="114" t="str"/>
      <x:c r="G21" s="114" t="str"/>
      <x:c r="H21" s="114" t="str"/>
      <x:c r="I21" s="114" t="str"/>
      <x:c r="J21" s="114" t="str"/>
      <x:c r="K21" s="148" t="str"/>
      <x:c r="L21" s="148" t="str"/>
      <x:c r="M21" s="148" t="str"/>
      <x:c r="N21" s="114" t="str"/>
      <x:c r="O21" s="114" t="str"/>
      <x:c r="P21" s="115" t="str"/>
    </x:row>
    <x:row r="22" ht="34" customHeight="1">
      <x:c r="A22" s="113" t="str"/>
      <x:c r="B22" s="114" t="str"/>
      <x:c r="C22" s="114" t="str"/>
      <x:c r="D22" s="114" t="str"/>
      <x:c r="E22" s="114" t="str"/>
      <x:c r="F22" s="114" t="str"/>
      <x:c r="G22" s="114" t="str"/>
      <x:c r="H22" s="114" t="str"/>
      <x:c r="I22" s="114" t="str"/>
      <x:c r="J22" s="114" t="str"/>
      <x:c r="K22" s="148" t="str"/>
      <x:c r="L22" s="148" t="str"/>
      <x:c r="M22" s="148" t="str"/>
      <x:c r="N22" s="114" t="str"/>
      <x:c r="O22" s="114" t="str"/>
      <x:c r="P22" s="115" t="str"/>
    </x:row>
    <x:row r="23" ht="34" customHeight="1">
      <x:c r="A23" s="113" t="str"/>
      <x:c r="B23" s="114" t="str"/>
      <x:c r="C23" s="114" t="str"/>
      <x:c r="D23" s="114" t="str"/>
      <x:c r="E23" s="114" t="str"/>
      <x:c r="F23" s="114" t="str"/>
      <x:c r="G23" s="114" t="str"/>
      <x:c r="H23" s="114" t="str"/>
      <x:c r="I23" s="114" t="str"/>
      <x:c r="J23" s="114" t="str"/>
      <x:c r="K23" s="148" t="str"/>
      <x:c r="L23" s="148" t="str"/>
      <x:c r="M23" s="148" t="str"/>
      <x:c r="N23" s="114" t="str"/>
      <x:c r="O23" s="114" t="str"/>
      <x:c r="P23" s="115" t="str"/>
    </x:row>
    <x:row r="24" ht="34" customHeight="1">
      <x:c r="A24" s="113" t="str"/>
      <x:c r="B24" s="114" t="str"/>
      <x:c r="C24" s="114" t="str"/>
      <x:c r="D24" s="114" t="str"/>
      <x:c r="E24" s="114" t="str"/>
      <x:c r="F24" s="114" t="str"/>
      <x:c r="G24" s="114" t="str"/>
      <x:c r="H24" s="114" t="str"/>
      <x:c r="I24" s="114" t="str"/>
      <x:c r="J24" s="114" t="str"/>
      <x:c r="K24" s="148" t="str"/>
      <x:c r="L24" s="148" t="str"/>
      <x:c r="M24" s="148" t="str"/>
      <x:c r="N24" s="114" t="str"/>
      <x:c r="O24" s="114" t="str"/>
      <x:c r="P24" s="115" t="str"/>
    </x:row>
    <x:row r="25" ht="34" customHeight="1">
      <x:c r="A25" s="113" t="str"/>
      <x:c r="B25" s="114" t="str"/>
      <x:c r="C25" s="114" t="str"/>
      <x:c r="D25" s="114" t="str"/>
      <x:c r="E25" s="114" t="str"/>
      <x:c r="F25" s="114" t="str"/>
      <x:c r="G25" s="114" t="str"/>
      <x:c r="H25" s="114" t="str"/>
      <x:c r="I25" s="114" t="str"/>
      <x:c r="J25" s="114" t="str"/>
      <x:c r="K25" s="148" t="str"/>
      <x:c r="L25" s="148" t="str"/>
      <x:c r="M25" s="148" t="str"/>
      <x:c r="N25" s="114" t="str"/>
      <x:c r="O25" s="114" t="str"/>
      <x:c r="P25" s="115" t="str"/>
    </x:row>
    <x:row r="26" ht="34" customHeight="1">
      <x:c r="A26" s="113" t="str"/>
      <x:c r="B26" s="114" t="str"/>
      <x:c r="C26" s="114" t="str"/>
      <x:c r="D26" s="114" t="str"/>
      <x:c r="E26" s="114" t="str"/>
      <x:c r="F26" s="114" t="str"/>
      <x:c r="G26" s="114" t="str"/>
      <x:c r="H26" s="114" t="str"/>
      <x:c r="I26" s="114" t="str"/>
      <x:c r="J26" s="114" t="str"/>
      <x:c r="K26" s="148" t="str"/>
      <x:c r="L26" s="148" t="str"/>
      <x:c r="M26" s="148" t="str"/>
      <x:c r="N26" s="114" t="str"/>
      <x:c r="O26" s="114" t="str"/>
      <x:c r="P26" s="115" t="str"/>
    </x:row>
    <x:row r="27" ht="34" customHeight="1">
      <x:c r="A27" s="113" t="str"/>
      <x:c r="B27" s="114" t="str"/>
      <x:c r="C27" s="114" t="str"/>
      <x:c r="D27" s="114" t="str"/>
      <x:c r="E27" s="114" t="str"/>
      <x:c r="F27" s="114" t="str"/>
      <x:c r="G27" s="114" t="str"/>
      <x:c r="H27" s="114" t="str"/>
      <x:c r="I27" s="114" t="str"/>
      <x:c r="J27" s="114" t="str"/>
      <x:c r="K27" s="148" t="str"/>
      <x:c r="L27" s="148" t="str"/>
      <x:c r="M27" s="148" t="str"/>
      <x:c r="N27" s="114" t="str"/>
      <x:c r="O27" s="114" t="str"/>
      <x:c r="P27" s="115" t="str"/>
    </x:row>
    <x:row r="28" ht="34" customHeight="1">
      <x:c r="A28" s="113" t="str"/>
      <x:c r="B28" s="114" t="str"/>
      <x:c r="C28" s="114" t="str"/>
      <x:c r="D28" s="114" t="str"/>
      <x:c r="E28" s="114" t="str"/>
      <x:c r="F28" s="114" t="str"/>
      <x:c r="G28" s="114" t="str"/>
      <x:c r="H28" s="114" t="str"/>
      <x:c r="I28" s="114" t="str"/>
      <x:c r="J28" s="114" t="str"/>
      <x:c r="K28" s="148" t="str"/>
      <x:c r="L28" s="148" t="str"/>
      <x:c r="M28" s="148" t="str"/>
      <x:c r="N28" s="114" t="str"/>
      <x:c r="O28" s="114" t="str"/>
      <x:c r="P28" s="115" t="str"/>
    </x:row>
    <x:row r="29" ht="34" customHeight="1">
      <x:c r="A29" s="113" t="str"/>
      <x:c r="B29" s="114" t="str"/>
      <x:c r="C29" s="114" t="str"/>
      <x:c r="D29" s="114" t="str"/>
      <x:c r="E29" s="114" t="str"/>
      <x:c r="F29" s="114" t="str"/>
      <x:c r="G29" s="114" t="str"/>
      <x:c r="H29" s="114" t="str"/>
      <x:c r="I29" s="114" t="str"/>
      <x:c r="J29" s="114" t="str"/>
      <x:c r="K29" s="148" t="str"/>
      <x:c r="L29" s="148" t="str"/>
      <x:c r="M29" s="148" t="str"/>
      <x:c r="N29" s="114" t="str"/>
      <x:c r="O29" s="114" t="str"/>
      <x:c r="P29" s="115" t="str"/>
    </x:row>
    <x:row r="30" ht="34" customHeight="1">
      <x:c r="A30" s="113" t="str"/>
      <x:c r="B30" s="114" t="str"/>
      <x:c r="C30" s="114" t="str"/>
      <x:c r="D30" s="114" t="str"/>
      <x:c r="E30" s="114" t="str"/>
      <x:c r="F30" s="114" t="str"/>
      <x:c r="G30" s="114" t="str"/>
      <x:c r="H30" s="114" t="str"/>
      <x:c r="I30" s="114" t="str"/>
      <x:c r="J30" s="114" t="str"/>
      <x:c r="K30" s="148" t="str"/>
      <x:c r="L30" s="148" t="str"/>
      <x:c r="M30" s="148" t="str"/>
      <x:c r="N30" s="114" t="str"/>
      <x:c r="O30" s="114" t="str"/>
      <x:c r="P30" s="115" t="str"/>
    </x:row>
    <x:row r="31" ht="34" customHeight="1">
      <x:c r="A31" s="113" t="str"/>
      <x:c r="B31" s="114" t="str"/>
      <x:c r="C31" s="114" t="str"/>
      <x:c r="D31" s="114" t="str"/>
      <x:c r="E31" s="114" t="str"/>
      <x:c r="F31" s="114" t="str"/>
      <x:c r="G31" s="114" t="str"/>
      <x:c r="H31" s="114" t="str"/>
      <x:c r="I31" s="114" t="str"/>
      <x:c r="J31" s="114" t="str"/>
      <x:c r="K31" s="148" t="str"/>
      <x:c r="L31" s="148" t="str"/>
      <x:c r="M31" s="148" t="str"/>
      <x:c r="N31" s="114" t="str"/>
      <x:c r="O31" s="114" t="str"/>
      <x:c r="P31" s="115" t="str"/>
    </x:row>
    <x:row r="32" ht="34" customHeight="1">
      <x:c r="A32" s="113" t="str"/>
      <x:c r="B32" s="114" t="str"/>
      <x:c r="C32" s="114" t="str"/>
      <x:c r="D32" s="114" t="str"/>
      <x:c r="E32" s="114" t="str"/>
      <x:c r="F32" s="114" t="str"/>
      <x:c r="G32" s="114" t="str"/>
      <x:c r="H32" s="114" t="str"/>
      <x:c r="I32" s="114" t="str"/>
      <x:c r="J32" s="114" t="str"/>
      <x:c r="K32" s="148" t="str"/>
      <x:c r="L32" s="148" t="str"/>
      <x:c r="M32" s="148" t="str"/>
      <x:c r="N32" s="114" t="str"/>
      <x:c r="O32" s="114" t="str"/>
      <x:c r="P32" s="115" t="str"/>
    </x:row>
    <x:row r="33" ht="34" customHeight="1">
      <x:c r="A33" s="113" t="str"/>
      <x:c r="B33" s="114" t="str"/>
      <x:c r="C33" s="114" t="str"/>
      <x:c r="D33" s="114" t="str"/>
      <x:c r="E33" s="114" t="str"/>
      <x:c r="F33" s="114" t="str"/>
      <x:c r="G33" s="114" t="str"/>
      <x:c r="H33" s="114" t="str"/>
      <x:c r="I33" s="114" t="str"/>
      <x:c r="J33" s="114" t="str"/>
      <x:c r="K33" s="148" t="str"/>
      <x:c r="L33" s="148" t="str"/>
      <x:c r="M33" s="148" t="str"/>
      <x:c r="N33" s="114" t="str"/>
      <x:c r="O33" s="114" t="str"/>
      <x:c r="P33" s="115" t="str"/>
    </x:row>
    <x:row r="34" ht="34" customHeight="1">
      <x:c r="A34" s="113" t="str"/>
      <x:c r="B34" s="114" t="str"/>
      <x:c r="C34" s="114" t="str"/>
      <x:c r="D34" s="114" t="str"/>
      <x:c r="E34" s="114" t="str"/>
      <x:c r="F34" s="114" t="str"/>
      <x:c r="G34" s="114" t="str"/>
      <x:c r="H34" s="114" t="str"/>
      <x:c r="I34" s="114" t="str"/>
      <x:c r="J34" s="114" t="str"/>
      <x:c r="K34" s="148" t="str"/>
      <x:c r="L34" s="148" t="str"/>
      <x:c r="M34" s="148" t="str"/>
      <x:c r="N34" s="114" t="str"/>
      <x:c r="O34" s="114" t="str"/>
      <x:c r="P34" s="115" t="str"/>
    </x:row>
    <x:row r="35" ht="34" customHeight="1">
      <x:c r="A35" s="113" t="str"/>
      <x:c r="B35" s="114" t="str"/>
      <x:c r="C35" s="114" t="str"/>
      <x:c r="D35" s="114" t="str"/>
      <x:c r="E35" s="114" t="str"/>
      <x:c r="F35" s="114" t="str"/>
      <x:c r="G35" s="114" t="str"/>
      <x:c r="H35" s="114" t="str"/>
      <x:c r="I35" s="114" t="str"/>
      <x:c r="J35" s="114" t="str"/>
      <x:c r="K35" s="148" t="str"/>
      <x:c r="L35" s="148" t="str"/>
      <x:c r="M35" s="148" t="str"/>
      <x:c r="N35" s="114" t="str"/>
      <x:c r="O35" s="114" t="str"/>
      <x:c r="P35" s="115" t="str"/>
    </x:row>
    <x:row r="36" ht="34" customHeight="1">
      <x:c r="A36" s="113" t="str"/>
      <x:c r="B36" s="114" t="str"/>
      <x:c r="C36" s="114" t="str"/>
      <x:c r="D36" s="114" t="str"/>
      <x:c r="E36" s="114" t="str"/>
      <x:c r="F36" s="114" t="str"/>
      <x:c r="G36" s="114" t="str"/>
      <x:c r="H36" s="114" t="str"/>
      <x:c r="I36" s="114" t="str"/>
      <x:c r="J36" s="114" t="str"/>
      <x:c r="K36" s="148" t="str"/>
      <x:c r="L36" s="148" t="str"/>
      <x:c r="M36" s="148" t="str"/>
      <x:c r="N36" s="114" t="str"/>
      <x:c r="O36" s="114" t="str"/>
      <x:c r="P36" s="115" t="str"/>
    </x:row>
    <x:row r="37" ht="34" customHeight="1">
      <x:c r="A37" s="113" t="str"/>
      <x:c r="B37" s="114" t="str"/>
      <x:c r="C37" s="114" t="str"/>
      <x:c r="D37" s="114" t="str"/>
      <x:c r="E37" s="114" t="str"/>
      <x:c r="F37" s="114" t="str"/>
      <x:c r="G37" s="114" t="str"/>
      <x:c r="H37" s="114" t="str"/>
      <x:c r="I37" s="114" t="str"/>
      <x:c r="J37" s="114" t="str"/>
      <x:c r="K37" s="148" t="str"/>
      <x:c r="L37" s="148" t="str"/>
      <x:c r="M37" s="148" t="str"/>
      <x:c r="N37" s="114" t="str"/>
      <x:c r="O37" s="114" t="str"/>
      <x:c r="P37" s="115" t="str"/>
    </x:row>
    <x:row r="38" ht="34" customHeight="1">
      <x:c r="A38" s="113" t="str"/>
      <x:c r="B38" s="114" t="str"/>
      <x:c r="C38" s="114" t="str"/>
      <x:c r="D38" s="114" t="str"/>
      <x:c r="E38" s="114" t="str"/>
      <x:c r="F38" s="114" t="str"/>
      <x:c r="G38" s="114" t="str"/>
      <x:c r="H38" s="114" t="str"/>
      <x:c r="I38" s="114" t="str"/>
      <x:c r="J38" s="114" t="str"/>
      <x:c r="K38" s="148" t="str"/>
      <x:c r="L38" s="148" t="str"/>
      <x:c r="M38" s="148" t="str"/>
      <x:c r="N38" s="114" t="str"/>
      <x:c r="O38" s="114" t="str"/>
      <x:c r="P38" s="115" t="str"/>
    </x:row>
    <x:row r="39" ht="34" customHeight="1">
      <x:c r="A39" s="113" t="str"/>
      <x:c r="B39" s="114" t="str"/>
      <x:c r="C39" s="114" t="str"/>
      <x:c r="D39" s="114" t="str"/>
      <x:c r="E39" s="114" t="str"/>
      <x:c r="F39" s="114" t="str"/>
      <x:c r="G39" s="114" t="str"/>
      <x:c r="H39" s="114" t="str"/>
      <x:c r="I39" s="114" t="str"/>
      <x:c r="J39" s="114" t="str"/>
      <x:c r="K39" s="148" t="str"/>
      <x:c r="L39" s="148" t="str"/>
      <x:c r="M39" s="148" t="str"/>
      <x:c r="N39" s="114" t="str"/>
      <x:c r="O39" s="114" t="str"/>
      <x:c r="P39" s="115" t="str"/>
    </x:row>
    <x:row r="40" ht="34" customHeight="1">
      <x:c r="A40" s="113" t="str"/>
      <x:c r="B40" s="114" t="str"/>
      <x:c r="C40" s="114" t="str"/>
      <x:c r="D40" s="114" t="str"/>
      <x:c r="E40" s="114" t="str"/>
      <x:c r="F40" s="114" t="str"/>
      <x:c r="G40" s="114" t="str"/>
      <x:c r="H40" s="114" t="str"/>
      <x:c r="I40" s="114" t="str"/>
      <x:c r="J40" s="114" t="str"/>
      <x:c r="K40" s="148" t="str"/>
      <x:c r="L40" s="148" t="str"/>
      <x:c r="M40" s="148" t="str"/>
      <x:c r="N40" s="114" t="str"/>
      <x:c r="O40" s="114" t="str"/>
      <x:c r="P40" s="115" t="str"/>
    </x:row>
    <x:row r="41" ht="34" customHeight="1">
      <x:c r="A41" s="113" t="str"/>
      <x:c r="B41" s="114" t="str"/>
      <x:c r="C41" s="114" t="str"/>
      <x:c r="D41" s="114" t="str"/>
      <x:c r="E41" s="114" t="str"/>
      <x:c r="F41" s="114" t="str"/>
      <x:c r="G41" s="114" t="str"/>
      <x:c r="H41" s="114" t="str"/>
      <x:c r="I41" s="114" t="str"/>
      <x:c r="J41" s="114" t="str"/>
      <x:c r="K41" s="148" t="str"/>
      <x:c r="L41" s="148" t="str"/>
      <x:c r="M41" s="148" t="str"/>
      <x:c r="N41" s="114" t="str"/>
      <x:c r="O41" s="114" t="str"/>
      <x:c r="P41" s="115" t="str"/>
    </x:row>
    <x:row r="42" ht="34" customHeight="1">
      <x:c r="A42" s="113" t="str"/>
      <x:c r="B42" s="114" t="str"/>
      <x:c r="C42" s="114" t="str"/>
      <x:c r="D42" s="114" t="str"/>
      <x:c r="E42" s="114" t="str"/>
      <x:c r="F42" s="114" t="str"/>
      <x:c r="G42" s="114" t="str"/>
      <x:c r="H42" s="114" t="str"/>
      <x:c r="I42" s="114" t="str"/>
      <x:c r="J42" s="114" t="str"/>
      <x:c r="K42" s="148" t="str"/>
      <x:c r="L42" s="148" t="str"/>
      <x:c r="M42" s="148" t="str"/>
      <x:c r="N42" s="114" t="str"/>
      <x:c r="O42" s="114" t="str"/>
      <x:c r="P42" s="115" t="str"/>
    </x:row>
    <x:row r="43" ht="34" customHeight="1">
      <x:c r="A43" s="113" t="str"/>
      <x:c r="B43" s="114" t="str"/>
      <x:c r="C43" s="114" t="str"/>
      <x:c r="D43" s="114" t="str"/>
      <x:c r="E43" s="114" t="str"/>
      <x:c r="F43" s="114" t="str"/>
      <x:c r="G43" s="114" t="str"/>
      <x:c r="H43" s="114" t="str"/>
      <x:c r="I43" s="114" t="str"/>
      <x:c r="J43" s="114" t="str"/>
      <x:c r="K43" s="148" t="str"/>
      <x:c r="L43" s="148" t="str"/>
      <x:c r="M43" s="148" t="str"/>
      <x:c r="N43" s="114" t="str"/>
      <x:c r="O43" s="114" t="str"/>
      <x:c r="P43" s="115" t="str"/>
    </x:row>
    <x:row r="44" ht="34" customHeight="1">
      <x:c r="A44" s="113" t="str"/>
      <x:c r="B44" s="114" t="str"/>
      <x:c r="C44" s="114" t="str"/>
      <x:c r="D44" s="114" t="str"/>
      <x:c r="E44" s="114" t="str"/>
      <x:c r="F44" s="114" t="str"/>
      <x:c r="G44" s="114" t="str"/>
      <x:c r="H44" s="114" t="str"/>
      <x:c r="I44" s="114" t="str"/>
      <x:c r="J44" s="114" t="str"/>
      <x:c r="K44" s="148" t="str"/>
      <x:c r="L44" s="148" t="str"/>
      <x:c r="M44" s="148" t="str"/>
      <x:c r="N44" s="114" t="str"/>
      <x:c r="O44" s="114" t="str"/>
      <x:c r="P44" s="115" t="str"/>
    </x:row>
    <x:row r="45" ht="34" customHeight="1">
      <x:c r="A45" s="113" t="str"/>
      <x:c r="B45" s="114" t="str"/>
      <x:c r="C45" s="114" t="str"/>
      <x:c r="D45" s="114" t="str"/>
      <x:c r="E45" s="114" t="str"/>
      <x:c r="F45" s="114" t="str"/>
      <x:c r="G45" s="114" t="str"/>
      <x:c r="H45" s="114" t="str"/>
      <x:c r="I45" s="114" t="str"/>
      <x:c r="J45" s="114" t="str"/>
      <x:c r="K45" s="148" t="str"/>
      <x:c r="L45" s="148" t="str"/>
      <x:c r="M45" s="148" t="str"/>
      <x:c r="N45" s="114" t="str"/>
      <x:c r="O45" s="114" t="str"/>
      <x:c r="P45" s="115" t="str"/>
    </x:row>
    <x:row r="46" ht="34" customHeight="1">
      <x:c r="A46" s="113" t="str"/>
      <x:c r="B46" s="114" t="str"/>
      <x:c r="C46" s="114" t="str"/>
      <x:c r="D46" s="114" t="str"/>
      <x:c r="E46" s="114" t="str"/>
      <x:c r="F46" s="114" t="str"/>
      <x:c r="G46" s="114" t="str"/>
      <x:c r="H46" s="114" t="str"/>
      <x:c r="I46" s="114" t="str"/>
      <x:c r="J46" s="114" t="str"/>
      <x:c r="K46" s="148" t="str"/>
      <x:c r="L46" s="148" t="str"/>
      <x:c r="M46" s="148" t="str"/>
      <x:c r="N46" s="114" t="str"/>
      <x:c r="O46" s="114" t="str"/>
      <x:c r="P46" s="115" t="str"/>
    </x:row>
    <x:row r="47" ht="34" customHeight="1">
      <x:c r="A47" s="113" t="str"/>
      <x:c r="B47" s="114" t="str"/>
      <x:c r="C47" s="114" t="str"/>
      <x:c r="D47" s="114" t="str"/>
      <x:c r="E47" s="114" t="str"/>
      <x:c r="F47" s="114" t="str"/>
      <x:c r="G47" s="114" t="str"/>
      <x:c r="H47" s="114" t="str"/>
      <x:c r="I47" s="114" t="str"/>
      <x:c r="J47" s="114" t="str"/>
      <x:c r="K47" s="148" t="str"/>
      <x:c r="L47" s="148" t="str"/>
      <x:c r="M47" s="148" t="str"/>
      <x:c r="N47" s="114" t="str"/>
      <x:c r="O47" s="114" t="str"/>
      <x:c r="P47" s="115" t="str"/>
    </x:row>
    <x:row r="48" ht="34" customHeight="1">
      <x:c r="A48" s="113" t="str"/>
      <x:c r="B48" s="114" t="str"/>
      <x:c r="C48" s="114" t="str"/>
      <x:c r="D48" s="114" t="str"/>
      <x:c r="E48" s="114" t="str"/>
      <x:c r="F48" s="114" t="str"/>
      <x:c r="G48" s="114" t="str"/>
      <x:c r="H48" s="114" t="str"/>
      <x:c r="I48" s="114" t="str"/>
      <x:c r="J48" s="114" t="str"/>
      <x:c r="K48" s="148" t="str"/>
      <x:c r="L48" s="148" t="str"/>
      <x:c r="M48" s="148" t="str"/>
      <x:c r="N48" s="114" t="str"/>
      <x:c r="O48" s="114" t="str"/>
      <x:c r="P48" s="115" t="str"/>
    </x:row>
    <x:row r="49" ht="34" customHeight="1">
      <x:c r="A49" s="113" t="str"/>
      <x:c r="B49" s="114" t="str"/>
      <x:c r="C49" s="114" t="str"/>
      <x:c r="D49" s="114" t="str"/>
      <x:c r="E49" s="114" t="str"/>
      <x:c r="F49" s="114" t="str"/>
      <x:c r="G49" s="114" t="str"/>
      <x:c r="H49" s="114" t="str"/>
      <x:c r="I49" s="114" t="str"/>
      <x:c r="J49" s="114" t="str"/>
      <x:c r="K49" s="148" t="str"/>
      <x:c r="L49" s="148" t="str"/>
      <x:c r="M49" s="148" t="str"/>
      <x:c r="N49" s="114" t="str"/>
      <x:c r="O49" s="114" t="str"/>
      <x:c r="P49" s="115" t="str"/>
    </x:row>
    <x:row r="50" ht="34" customHeight="1">
      <x:c r="A50" s="113" t="str"/>
      <x:c r="B50" s="114" t="str"/>
      <x:c r="C50" s="114" t="str"/>
      <x:c r="D50" s="114" t="str"/>
      <x:c r="E50" s="114" t="str"/>
      <x:c r="F50" s="114" t="str"/>
      <x:c r="G50" s="114" t="str"/>
      <x:c r="H50" s="114" t="str"/>
      <x:c r="I50" s="114" t="str"/>
      <x:c r="J50" s="114" t="str"/>
      <x:c r="K50" s="148" t="str"/>
      <x:c r="L50" s="148" t="str"/>
      <x:c r="M50" s="148" t="str"/>
      <x:c r="N50" s="114" t="str"/>
      <x:c r="O50" s="114" t="str"/>
      <x:c r="P50" s="115" t="str"/>
    </x:row>
    <x:row r="51" ht="34" customHeight="1">
      <x:c r="A51" s="113" t="str"/>
      <x:c r="B51" s="114" t="str"/>
      <x:c r="C51" s="114" t="str"/>
      <x:c r="D51" s="114" t="str"/>
      <x:c r="E51" s="114" t="str"/>
      <x:c r="F51" s="114" t="str"/>
      <x:c r="G51" s="114" t="str"/>
      <x:c r="H51" s="114" t="str"/>
      <x:c r="I51" s="114" t="str"/>
      <x:c r="J51" s="114" t="str"/>
      <x:c r="K51" s="148" t="str"/>
      <x:c r="L51" s="148" t="str"/>
      <x:c r="M51" s="148" t="str"/>
      <x:c r="N51" s="114" t="str"/>
      <x:c r="O51" s="114" t="str"/>
      <x:c r="P51" s="115" t="str"/>
    </x:row>
    <x:row r="52" ht="34" customHeight="1">
      <x:c r="A52" s="113" t="str"/>
      <x:c r="B52" s="114" t="str"/>
      <x:c r="C52" s="114" t="str"/>
      <x:c r="D52" s="114" t="str"/>
      <x:c r="E52" s="114" t="str"/>
      <x:c r="F52" s="114" t="str"/>
      <x:c r="G52" s="114" t="str"/>
      <x:c r="H52" s="114" t="str"/>
      <x:c r="I52" s="114" t="str"/>
      <x:c r="J52" s="114" t="str"/>
      <x:c r="K52" s="148" t="str"/>
      <x:c r="L52" s="148" t="str"/>
      <x:c r="M52" s="148" t="str"/>
      <x:c r="N52" s="114" t="str"/>
      <x:c r="O52" s="114" t="str"/>
      <x:c r="P52" s="115" t="str"/>
    </x:row>
    <x:row r="53" ht="34" customHeight="1">
      <x:c r="A53" s="113" t="str"/>
      <x:c r="B53" s="114" t="str"/>
      <x:c r="C53" s="114" t="str"/>
      <x:c r="D53" s="114" t="str"/>
      <x:c r="E53" s="114" t="str"/>
      <x:c r="F53" s="114" t="str"/>
      <x:c r="G53" s="114" t="str"/>
      <x:c r="H53" s="114" t="str"/>
      <x:c r="I53" s="114" t="str"/>
      <x:c r="J53" s="114" t="str"/>
      <x:c r="K53" s="148" t="str"/>
      <x:c r="L53" s="148" t="str"/>
      <x:c r="M53" s="148" t="str"/>
      <x:c r="N53" s="114" t="str"/>
      <x:c r="O53" s="114" t="str"/>
      <x:c r="P53" s="115" t="str"/>
    </x:row>
    <x:row r="54" ht="34" customHeight="1">
      <x:c r="A54" s="113" t="str"/>
      <x:c r="B54" s="114" t="str"/>
      <x:c r="C54" s="114" t="str"/>
      <x:c r="D54" s="114" t="str"/>
      <x:c r="E54" s="114" t="str"/>
      <x:c r="F54" s="114" t="str"/>
      <x:c r="G54" s="114" t="str"/>
      <x:c r="H54" s="114" t="str"/>
      <x:c r="I54" s="114" t="str"/>
      <x:c r="J54" s="114" t="str"/>
      <x:c r="K54" s="148" t="str"/>
      <x:c r="L54" s="148" t="str"/>
      <x:c r="M54" s="148" t="str"/>
      <x:c r="N54" s="114" t="str"/>
      <x:c r="O54" s="114" t="str"/>
      <x:c r="P54" s="115" t="str"/>
    </x:row>
    <x:row r="55" ht="34" customHeight="1">
      <x:c r="A55" s="113" t="str"/>
      <x:c r="B55" s="114" t="str"/>
      <x:c r="C55" s="114" t="str"/>
      <x:c r="D55" s="114" t="str"/>
      <x:c r="E55" s="114" t="str"/>
      <x:c r="F55" s="114" t="str"/>
      <x:c r="G55" s="114" t="str"/>
      <x:c r="H55" s="114" t="str"/>
      <x:c r="I55" s="114" t="str"/>
      <x:c r="J55" s="114" t="str"/>
      <x:c r="K55" s="148" t="str"/>
      <x:c r="L55" s="148" t="str"/>
      <x:c r="M55" s="148" t="str"/>
      <x:c r="N55" s="114" t="str"/>
      <x:c r="O55" s="114" t="str"/>
      <x:c r="P55" s="115" t="str"/>
    </x:row>
    <x:row r="56" ht="34" customHeight="1">
      <x:c r="A56" s="113" t="str"/>
      <x:c r="B56" s="114" t="str"/>
      <x:c r="C56" s="114" t="str"/>
      <x:c r="D56" s="114" t="str"/>
      <x:c r="E56" s="114" t="str"/>
      <x:c r="F56" s="114" t="str"/>
      <x:c r="G56" s="114" t="str"/>
      <x:c r="H56" s="114" t="str"/>
      <x:c r="I56" s="114" t="str"/>
      <x:c r="J56" s="114" t="str"/>
      <x:c r="K56" s="148" t="str"/>
      <x:c r="L56" s="148" t="str"/>
      <x:c r="M56" s="148" t="str"/>
      <x:c r="N56" s="114" t="str"/>
      <x:c r="O56" s="114" t="str"/>
      <x:c r="P56" s="115" t="str"/>
    </x:row>
    <x:row r="57" ht="34" customHeight="1">
      <x:c r="A57" s="113" t="str"/>
      <x:c r="B57" s="114" t="str"/>
      <x:c r="C57" s="114" t="str"/>
      <x:c r="D57" s="114" t="str"/>
      <x:c r="E57" s="114" t="str"/>
      <x:c r="F57" s="114" t="str"/>
      <x:c r="G57" s="114" t="str"/>
      <x:c r="H57" s="114" t="str"/>
      <x:c r="I57" s="114" t="str"/>
      <x:c r="J57" s="114" t="str"/>
      <x:c r="K57" s="148" t="str"/>
      <x:c r="L57" s="148" t="str"/>
      <x:c r="M57" s="148" t="str"/>
      <x:c r="N57" s="114" t="str"/>
      <x:c r="O57" s="114" t="str"/>
      <x:c r="P57" s="115" t="str"/>
    </x:row>
    <x:row r="58" ht="34" customHeight="1">
      <x:c r="A58" s="113" t="str"/>
      <x:c r="B58" s="114" t="str"/>
      <x:c r="C58" s="114" t="str"/>
      <x:c r="D58" s="114" t="str"/>
      <x:c r="E58" s="114" t="str"/>
      <x:c r="F58" s="114" t="str"/>
      <x:c r="G58" s="114" t="str"/>
      <x:c r="H58" s="114" t="str"/>
      <x:c r="I58" s="114" t="str"/>
      <x:c r="J58" s="114" t="str"/>
      <x:c r="K58" s="148" t="str"/>
      <x:c r="L58" s="148" t="str"/>
      <x:c r="M58" s="148" t="str"/>
      <x:c r="N58" s="114" t="str"/>
      <x:c r="O58" s="114" t="str"/>
      <x:c r="P58" s="115" t="str"/>
    </x:row>
    <x:row r="59" ht="34" customHeight="1">
      <x:c r="A59" s="113" t="str"/>
      <x:c r="B59" s="114" t="str"/>
      <x:c r="C59" s="114" t="str"/>
      <x:c r="D59" s="114" t="str"/>
      <x:c r="E59" s="114" t="str"/>
      <x:c r="F59" s="114" t="str"/>
      <x:c r="G59" s="114" t="str"/>
      <x:c r="H59" s="114" t="str"/>
      <x:c r="I59" s="114" t="str"/>
      <x:c r="J59" s="114" t="str"/>
      <x:c r="K59" s="148" t="str"/>
      <x:c r="L59" s="148" t="str"/>
      <x:c r="M59" s="148" t="str"/>
      <x:c r="N59" s="114" t="str"/>
      <x:c r="O59" s="114" t="str"/>
      <x:c r="P59" s="115" t="str"/>
    </x:row>
    <x:row r="60" ht="34" customHeight="1">
      <x:c r="A60" s="113" t="str"/>
      <x:c r="B60" s="114" t="str"/>
      <x:c r="C60" s="114" t="str"/>
      <x:c r="D60" s="114" t="str"/>
      <x:c r="E60" s="114" t="str"/>
      <x:c r="F60" s="114" t="str"/>
      <x:c r="G60" s="114" t="str"/>
      <x:c r="H60" s="114" t="str"/>
      <x:c r="I60" s="114" t="str"/>
      <x:c r="J60" s="114" t="str"/>
      <x:c r="K60" s="148" t="str"/>
      <x:c r="L60" s="148" t="str"/>
      <x:c r="M60" s="148" t="str"/>
      <x:c r="N60" s="114" t="str"/>
      <x:c r="O60" s="114" t="str"/>
      <x:c r="P60" s="115" t="str"/>
    </x:row>
    <x:row r="61" ht="34" customHeight="1">
      <x:c r="A61" s="113" t="str"/>
      <x:c r="B61" s="114" t="str"/>
      <x:c r="C61" s="114" t="str"/>
      <x:c r="D61" s="114" t="str"/>
      <x:c r="E61" s="114" t="str"/>
      <x:c r="F61" s="114" t="str"/>
      <x:c r="G61" s="114" t="str"/>
      <x:c r="H61" s="114" t="str"/>
      <x:c r="I61" s="114" t="str"/>
      <x:c r="J61" s="114" t="str"/>
      <x:c r="K61" s="148" t="str"/>
      <x:c r="L61" s="148" t="str"/>
      <x:c r="M61" s="148" t="str"/>
      <x:c r="N61" s="114" t="str"/>
      <x:c r="O61" s="114" t="str"/>
      <x:c r="P61" s="115" t="str"/>
    </x:row>
    <x:row r="62" ht="34" customHeight="1">
      <x:c r="A62" s="113" t="str"/>
      <x:c r="B62" s="114" t="str"/>
      <x:c r="C62" s="114" t="str"/>
      <x:c r="D62" s="114" t="str"/>
      <x:c r="E62" s="114" t="str"/>
      <x:c r="F62" s="114" t="str"/>
      <x:c r="G62" s="114" t="str"/>
      <x:c r="H62" s="114" t="str"/>
      <x:c r="I62" s="114" t="str"/>
      <x:c r="J62" s="114" t="str"/>
      <x:c r="K62" s="148" t="str"/>
      <x:c r="L62" s="148" t="str"/>
      <x:c r="M62" s="148" t="str"/>
      <x:c r="N62" s="114" t="str"/>
      <x:c r="O62" s="114" t="str"/>
      <x:c r="P62" s="115" t="str"/>
    </x:row>
    <x:row r="63" ht="34" customHeight="1">
      <x:c r="A63" s="113" t="str"/>
      <x:c r="B63" s="114" t="str"/>
      <x:c r="C63" s="114" t="str"/>
      <x:c r="D63" s="114" t="str"/>
      <x:c r="E63" s="114" t="str"/>
      <x:c r="F63" s="114" t="str"/>
      <x:c r="G63" s="114" t="str"/>
      <x:c r="H63" s="114" t="str"/>
      <x:c r="I63" s="114" t="str"/>
      <x:c r="J63" s="114" t="str"/>
      <x:c r="K63" s="148" t="str"/>
      <x:c r="L63" s="148" t="str"/>
      <x:c r="M63" s="148" t="str"/>
      <x:c r="N63" s="114" t="str"/>
      <x:c r="O63" s="114" t="str"/>
      <x:c r="P63" s="115" t="str"/>
    </x:row>
    <x:row r="64" ht="34" customHeight="1">
      <x:c r="A64" s="113" t="str"/>
      <x:c r="B64" s="114" t="str"/>
      <x:c r="C64" s="114" t="str"/>
      <x:c r="D64" s="114" t="str"/>
      <x:c r="E64" s="114" t="str"/>
      <x:c r="F64" s="114" t="str"/>
      <x:c r="G64" s="114" t="str"/>
      <x:c r="H64" s="114" t="str"/>
      <x:c r="I64" s="114" t="str"/>
      <x:c r="J64" s="114" t="str"/>
      <x:c r="K64" s="148" t="str"/>
      <x:c r="L64" s="148" t="str"/>
      <x:c r="M64" s="148" t="str"/>
      <x:c r="N64" s="114" t="str"/>
      <x:c r="O64" s="114" t="str"/>
      <x:c r="P64" s="115" t="str"/>
    </x:row>
    <x:row r="65" ht="34" customHeight="1">
      <x:c r="A65" s="113" t="str"/>
      <x:c r="B65" s="114" t="str"/>
      <x:c r="C65" s="114" t="str"/>
      <x:c r="D65" s="114" t="str"/>
      <x:c r="E65" s="114" t="str"/>
      <x:c r="F65" s="114" t="str"/>
      <x:c r="G65" s="114" t="str"/>
      <x:c r="H65" s="114" t="str"/>
      <x:c r="I65" s="114" t="str"/>
      <x:c r="J65" s="114" t="str"/>
      <x:c r="K65" s="148" t="str"/>
      <x:c r="L65" s="148" t="str"/>
      <x:c r="M65" s="148" t="str"/>
      <x:c r="N65" s="114" t="str"/>
      <x:c r="O65" s="114" t="str"/>
      <x:c r="P65" s="115" t="str"/>
    </x:row>
    <x:row r="66" ht="34" customHeight="1">
      <x:c r="A66" s="113" t="str"/>
      <x:c r="B66" s="114" t="str"/>
      <x:c r="C66" s="114" t="str"/>
      <x:c r="D66" s="114" t="str"/>
      <x:c r="E66" s="114" t="str"/>
      <x:c r="F66" s="114" t="str"/>
      <x:c r="G66" s="114" t="str"/>
      <x:c r="H66" s="114" t="str"/>
      <x:c r="I66" s="114" t="str"/>
      <x:c r="J66" s="114" t="str"/>
      <x:c r="K66" s="148" t="str"/>
      <x:c r="L66" s="148" t="str"/>
      <x:c r="M66" s="148" t="str"/>
      <x:c r="N66" s="114" t="str"/>
      <x:c r="O66" s="114" t="str"/>
      <x:c r="P66" s="115" t="str"/>
    </x:row>
    <x:row r="67" ht="34" customHeight="1">
      <x:c r="A67" s="113" t="str"/>
      <x:c r="B67" s="114" t="str"/>
      <x:c r="C67" s="114" t="str"/>
      <x:c r="D67" s="114" t="str"/>
      <x:c r="E67" s="114" t="str"/>
      <x:c r="F67" s="114" t="str"/>
      <x:c r="G67" s="114" t="str"/>
      <x:c r="H67" s="114" t="str"/>
      <x:c r="I67" s="114" t="str"/>
      <x:c r="J67" s="114" t="str"/>
      <x:c r="K67" s="148" t="str"/>
      <x:c r="L67" s="148" t="str"/>
      <x:c r="M67" s="148" t="str"/>
      <x:c r="N67" s="114" t="str"/>
      <x:c r="O67" s="114" t="str"/>
      <x:c r="P67" s="115" t="str"/>
    </x:row>
    <x:row r="68" ht="34" customHeight="1">
      <x:c r="A68" s="113" t="str"/>
      <x:c r="B68" s="114" t="str"/>
      <x:c r="C68" s="114" t="str"/>
      <x:c r="D68" s="114" t="str"/>
      <x:c r="E68" s="114" t="str"/>
      <x:c r="F68" s="114" t="str"/>
      <x:c r="G68" s="114" t="str"/>
      <x:c r="H68" s="114" t="str"/>
      <x:c r="I68" s="114" t="str"/>
      <x:c r="J68" s="114" t="str"/>
      <x:c r="K68" s="148" t="str"/>
      <x:c r="L68" s="148" t="str"/>
      <x:c r="M68" s="148" t="str"/>
      <x:c r="N68" s="114" t="str"/>
      <x:c r="O68" s="114" t="str"/>
      <x:c r="P68" s="115" t="str"/>
    </x:row>
    <x:row r="69" ht="34" customHeight="1">
      <x:c r="A69" s="113" t="str"/>
      <x:c r="B69" s="114" t="str"/>
      <x:c r="C69" s="114" t="str"/>
      <x:c r="D69" s="114" t="str"/>
      <x:c r="E69" s="114" t="str"/>
      <x:c r="F69" s="114" t="str"/>
      <x:c r="G69" s="114" t="str"/>
      <x:c r="H69" s="114" t="str"/>
      <x:c r="I69" s="114" t="str"/>
      <x:c r="J69" s="114" t="str"/>
      <x:c r="K69" s="148" t="str"/>
      <x:c r="L69" s="148" t="str"/>
      <x:c r="M69" s="148" t="str"/>
      <x:c r="N69" s="114" t="str"/>
      <x:c r="O69" s="114" t="str"/>
      <x:c r="P69" s="115" t="str"/>
    </x:row>
    <x:row r="70" ht="34" customHeight="1">
      <x:c r="A70" s="113" t="str"/>
      <x:c r="B70" s="114" t="str"/>
      <x:c r="C70" s="114" t="str"/>
      <x:c r="D70" s="114" t="str"/>
      <x:c r="E70" s="114" t="str"/>
      <x:c r="F70" s="114" t="str"/>
      <x:c r="G70" s="114" t="str"/>
      <x:c r="H70" s="114" t="str"/>
      <x:c r="I70" s="114" t="str"/>
      <x:c r="J70" s="114" t="str"/>
      <x:c r="K70" s="148" t="str"/>
      <x:c r="L70" s="148" t="str"/>
      <x:c r="M70" s="148" t="str"/>
      <x:c r="N70" s="114" t="str"/>
      <x:c r="O70" s="114" t="str"/>
      <x:c r="P70" s="115" t="str"/>
    </x:row>
    <x:row r="71" ht="34" customHeight="1">
      <x:c r="A71" s="113" t="str"/>
      <x:c r="B71" s="114" t="str"/>
      <x:c r="C71" s="114" t="str"/>
      <x:c r="D71" s="114" t="str"/>
      <x:c r="E71" s="114" t="str"/>
      <x:c r="F71" s="114" t="str"/>
      <x:c r="G71" s="114" t="str"/>
      <x:c r="H71" s="114" t="str"/>
      <x:c r="I71" s="114" t="str"/>
      <x:c r="J71" s="114" t="str"/>
      <x:c r="K71" s="148" t="str"/>
      <x:c r="L71" s="148" t="str"/>
      <x:c r="M71" s="148" t="str"/>
      <x:c r="N71" s="114" t="str"/>
      <x:c r="O71" s="114" t="str"/>
      <x:c r="P71" s="115" t="str"/>
    </x:row>
    <x:row r="72" ht="34" customHeight="1">
      <x:c r="A72" s="113" t="str"/>
      <x:c r="B72" s="114" t="str"/>
      <x:c r="C72" s="114" t="str"/>
      <x:c r="D72" s="114" t="str"/>
      <x:c r="E72" s="114" t="str"/>
      <x:c r="F72" s="114" t="str"/>
      <x:c r="G72" s="114" t="str"/>
      <x:c r="H72" s="114" t="str"/>
      <x:c r="I72" s="114" t="str"/>
      <x:c r="J72" s="114" t="str"/>
      <x:c r="K72" s="148" t="str"/>
      <x:c r="L72" s="148" t="str"/>
      <x:c r="M72" s="148" t="str"/>
      <x:c r="N72" s="114" t="str"/>
      <x:c r="O72" s="114" t="str"/>
      <x:c r="P72" s="115" t="str"/>
    </x:row>
    <x:row r="73" ht="34" customHeight="1">
      <x:c r="A73" s="113" t="str"/>
      <x:c r="B73" s="114" t="str"/>
      <x:c r="C73" s="114" t="str"/>
      <x:c r="D73" s="114" t="str"/>
      <x:c r="E73" s="114" t="str"/>
      <x:c r="F73" s="114" t="str"/>
      <x:c r="G73" s="114" t="str"/>
      <x:c r="H73" s="114" t="str"/>
      <x:c r="I73" s="114" t="str"/>
      <x:c r="J73" s="114" t="str"/>
      <x:c r="K73" s="148" t="str"/>
      <x:c r="L73" s="148" t="str"/>
      <x:c r="M73" s="148" t="str"/>
      <x:c r="N73" s="114" t="str"/>
      <x:c r="O73" s="114" t="str"/>
      <x:c r="P73" s="115" t="str"/>
    </x:row>
    <x:row r="74" ht="34" customHeight="1">
      <x:c r="A74" s="113" t="str"/>
      <x:c r="B74" s="114" t="str"/>
      <x:c r="C74" s="114" t="str"/>
      <x:c r="D74" s="114" t="str"/>
      <x:c r="E74" s="114" t="str"/>
      <x:c r="F74" s="114" t="str"/>
      <x:c r="G74" s="114" t="str"/>
      <x:c r="H74" s="114" t="str"/>
      <x:c r="I74" s="114" t="str"/>
      <x:c r="J74" s="114" t="str"/>
      <x:c r="K74" s="148" t="str"/>
      <x:c r="L74" s="148" t="str"/>
      <x:c r="M74" s="148" t="str"/>
      <x:c r="N74" s="114" t="str"/>
      <x:c r="O74" s="114" t="str"/>
      <x:c r="P74" s="115" t="str"/>
    </x:row>
    <x:row r="75" ht="34" customHeight="1">
      <x:c r="A75" s="113" t="str"/>
      <x:c r="B75" s="114" t="str"/>
      <x:c r="C75" s="114" t="str"/>
      <x:c r="D75" s="114" t="str"/>
      <x:c r="E75" s="114" t="str"/>
      <x:c r="F75" s="114" t="str"/>
      <x:c r="G75" s="114" t="str"/>
      <x:c r="H75" s="114" t="str"/>
      <x:c r="I75" s="114" t="str"/>
      <x:c r="J75" s="114" t="str"/>
      <x:c r="K75" s="148" t="str"/>
      <x:c r="L75" s="148" t="str"/>
      <x:c r="M75" s="148" t="str"/>
      <x:c r="N75" s="114" t="str"/>
      <x:c r="O75" s="114" t="str"/>
      <x:c r="P75" s="115" t="str"/>
    </x:row>
    <x:row r="76" ht="34" customHeight="1">
      <x:c r="A76" s="113" t="str"/>
      <x:c r="B76" s="114" t="str"/>
      <x:c r="C76" s="114" t="str"/>
      <x:c r="D76" s="114" t="str"/>
      <x:c r="E76" s="114" t="str"/>
      <x:c r="F76" s="114" t="str"/>
      <x:c r="G76" s="114" t="str"/>
      <x:c r="H76" s="114" t="str"/>
      <x:c r="I76" s="114" t="str"/>
      <x:c r="J76" s="114" t="str"/>
      <x:c r="K76" s="148" t="str"/>
      <x:c r="L76" s="148" t="str"/>
      <x:c r="M76" s="148" t="str"/>
      <x:c r="N76" s="114" t="str"/>
      <x:c r="O76" s="114" t="str"/>
      <x:c r="P76" s="115" t="str"/>
    </x:row>
    <x:row r="77" ht="34" customHeight="1">
      <x:c r="A77" s="113" t="str"/>
      <x:c r="B77" s="114" t="str"/>
      <x:c r="C77" s="114" t="str"/>
      <x:c r="D77" s="114" t="str"/>
      <x:c r="E77" s="114" t="str"/>
      <x:c r="F77" s="114" t="str"/>
      <x:c r="G77" s="114" t="str"/>
      <x:c r="H77" s="114" t="str"/>
      <x:c r="I77" s="114" t="str"/>
      <x:c r="J77" s="114" t="str"/>
      <x:c r="K77" s="148" t="str"/>
      <x:c r="L77" s="148" t="str"/>
      <x:c r="M77" s="148" t="str"/>
      <x:c r="N77" s="114" t="str"/>
      <x:c r="O77" s="114" t="str"/>
      <x:c r="P77" s="115" t="str"/>
    </x:row>
    <x:row r="78" ht="34" customHeight="1">
      <x:c r="A78" s="113" t="str"/>
      <x:c r="B78" s="114" t="str"/>
      <x:c r="C78" s="114" t="str"/>
      <x:c r="D78" s="114" t="str"/>
      <x:c r="E78" s="114" t="str"/>
      <x:c r="F78" s="114" t="str"/>
      <x:c r="G78" s="114" t="str"/>
      <x:c r="H78" s="114" t="str"/>
      <x:c r="I78" s="114" t="str"/>
      <x:c r="J78" s="114" t="str"/>
      <x:c r="K78" s="148" t="str"/>
      <x:c r="L78" s="148" t="str"/>
      <x:c r="M78" s="148" t="str"/>
      <x:c r="N78" s="114" t="str"/>
      <x:c r="O78" s="114" t="str"/>
      <x:c r="P78" s="115" t="str"/>
    </x:row>
    <x:row r="79" ht="34" customHeight="1">
      <x:c r="A79" s="113" t="str"/>
      <x:c r="B79" s="114" t="str"/>
      <x:c r="C79" s="114" t="str"/>
      <x:c r="D79" s="114" t="str"/>
      <x:c r="E79" s="114" t="str"/>
      <x:c r="F79" s="114" t="str"/>
      <x:c r="G79" s="114" t="str"/>
      <x:c r="H79" s="114" t="str"/>
      <x:c r="I79" s="114" t="str"/>
      <x:c r="J79" s="114" t="str"/>
      <x:c r="K79" s="148" t="str"/>
      <x:c r="L79" s="148" t="str"/>
      <x:c r="M79" s="148" t="str"/>
      <x:c r="N79" s="114" t="str"/>
      <x:c r="O79" s="114" t="str"/>
      <x:c r="P79" s="115" t="str"/>
    </x:row>
    <x:row r="80" ht="34" customHeight="1">
      <x:c r="A80" s="113" t="str"/>
      <x:c r="B80" s="114" t="str"/>
      <x:c r="C80" s="114" t="str"/>
      <x:c r="D80" s="114" t="str"/>
      <x:c r="E80" s="114" t="str"/>
      <x:c r="F80" s="114" t="str"/>
      <x:c r="G80" s="114" t="str"/>
      <x:c r="H80" s="114" t="str"/>
      <x:c r="I80" s="114" t="str"/>
      <x:c r="J80" s="114" t="str"/>
      <x:c r="K80" s="148" t="str"/>
      <x:c r="L80" s="148" t="str"/>
      <x:c r="M80" s="148" t="str"/>
      <x:c r="N80" s="114" t="str"/>
      <x:c r="O80" s="114" t="str"/>
      <x:c r="P80" s="115" t="str"/>
    </x:row>
    <x:row r="81" ht="34" customHeight="1">
      <x:c r="A81" s="113" t="str"/>
      <x:c r="B81" s="114" t="str"/>
      <x:c r="C81" s="114" t="str"/>
      <x:c r="D81" s="114" t="str"/>
      <x:c r="E81" s="114" t="str"/>
      <x:c r="F81" s="114" t="str"/>
      <x:c r="G81" s="114" t="str"/>
      <x:c r="H81" s="114" t="str"/>
      <x:c r="I81" s="114" t="str"/>
      <x:c r="J81" s="114" t="str"/>
      <x:c r="K81" s="148" t="str"/>
      <x:c r="L81" s="148" t="str"/>
      <x:c r="M81" s="148" t="str"/>
      <x:c r="N81" s="114" t="str"/>
      <x:c r="O81" s="114" t="str"/>
      <x:c r="P81" s="115" t="str"/>
    </x:row>
    <x:row r="82" ht="34" customHeight="1">
      <x:c r="A82" s="113" t="str"/>
      <x:c r="B82" s="114" t="str"/>
      <x:c r="C82" s="114" t="str"/>
      <x:c r="D82" s="114" t="str"/>
      <x:c r="E82" s="114" t="str"/>
      <x:c r="F82" s="114" t="str"/>
      <x:c r="G82" s="114" t="str"/>
      <x:c r="H82" s="114" t="str"/>
      <x:c r="I82" s="114" t="str"/>
      <x:c r="J82" s="114" t="str"/>
      <x:c r="K82" s="148" t="str"/>
      <x:c r="L82" s="148" t="str"/>
      <x:c r="M82" s="148" t="str"/>
      <x:c r="N82" s="114" t="str"/>
      <x:c r="O82" s="114" t="str"/>
      <x:c r="P82" s="115" t="str"/>
    </x:row>
    <x:row r="83" ht="34" customHeight="1">
      <x:c r="A83" s="113" t="str"/>
      <x:c r="B83" s="114" t="str"/>
      <x:c r="C83" s="114" t="str"/>
      <x:c r="D83" s="114" t="str"/>
      <x:c r="E83" s="114" t="str"/>
      <x:c r="F83" s="114" t="str"/>
      <x:c r="G83" s="114" t="str"/>
      <x:c r="H83" s="114" t="str"/>
      <x:c r="I83" s="114" t="str"/>
      <x:c r="J83" s="114" t="str"/>
      <x:c r="K83" s="148" t="str"/>
      <x:c r="L83" s="148" t="str"/>
      <x:c r="M83" s="148" t="str"/>
      <x:c r="N83" s="114" t="str"/>
      <x:c r="O83" s="114" t="str"/>
      <x:c r="P83" s="115" t="str"/>
    </x:row>
    <x:row r="84" ht="34" customHeight="1">
      <x:c r="A84" s="113" t="str"/>
      <x:c r="B84" s="114" t="str"/>
      <x:c r="C84" s="114" t="str"/>
      <x:c r="D84" s="114" t="str"/>
      <x:c r="E84" s="114" t="str"/>
      <x:c r="F84" s="114" t="str"/>
      <x:c r="G84" s="114" t="str"/>
      <x:c r="H84" s="114" t="str"/>
      <x:c r="I84" s="114" t="str"/>
      <x:c r="J84" s="114" t="str"/>
      <x:c r="K84" s="148" t="str"/>
      <x:c r="L84" s="148" t="str"/>
      <x:c r="M84" s="148" t="str"/>
      <x:c r="N84" s="114" t="str"/>
      <x:c r="O84" s="114" t="str"/>
      <x:c r="P84" s="115" t="str"/>
    </x:row>
    <x:row r="85" ht="34" customHeight="1">
      <x:c r="A85" s="113" t="str"/>
      <x:c r="B85" s="114" t="str"/>
      <x:c r="C85" s="114" t="str"/>
      <x:c r="D85" s="114" t="str"/>
      <x:c r="E85" s="114" t="str"/>
      <x:c r="F85" s="114" t="str"/>
      <x:c r="G85" s="114" t="str"/>
      <x:c r="H85" s="114" t="str"/>
      <x:c r="I85" s="114" t="str"/>
      <x:c r="J85" s="114" t="str"/>
      <x:c r="K85" s="148" t="str"/>
      <x:c r="L85" s="148" t="str"/>
      <x:c r="M85" s="148" t="str"/>
      <x:c r="N85" s="114" t="str"/>
      <x:c r="O85" s="114" t="str"/>
      <x:c r="P85" s="115" t="str"/>
    </x:row>
    <x:row r="86" ht="34" customHeight="1">
      <x:c r="A86" s="113" t="str"/>
      <x:c r="B86" s="114" t="str"/>
      <x:c r="C86" s="114" t="str"/>
      <x:c r="D86" s="114" t="str"/>
      <x:c r="E86" s="114" t="str"/>
      <x:c r="F86" s="114" t="str"/>
      <x:c r="G86" s="114" t="str"/>
      <x:c r="H86" s="114" t="str"/>
      <x:c r="I86" s="114" t="str"/>
      <x:c r="J86" s="114" t="str"/>
      <x:c r="K86" s="148" t="str"/>
      <x:c r="L86" s="148" t="str"/>
      <x:c r="M86" s="148" t="str"/>
      <x:c r="N86" s="114" t="str"/>
      <x:c r="O86" s="114" t="str"/>
      <x:c r="P86" s="115" t="str"/>
    </x:row>
    <x:row r="87" ht="34" customHeight="1">
      <x:c r="A87" s="113" t="str"/>
      <x:c r="B87" s="114" t="str"/>
      <x:c r="C87" s="114" t="str"/>
      <x:c r="D87" s="114" t="str"/>
      <x:c r="E87" s="114" t="str"/>
      <x:c r="F87" s="114" t="str"/>
      <x:c r="G87" s="114" t="str"/>
      <x:c r="H87" s="114" t="str"/>
      <x:c r="I87" s="114" t="str"/>
      <x:c r="J87" s="114" t="str"/>
      <x:c r="K87" s="148" t="str"/>
      <x:c r="L87" s="148" t="str"/>
      <x:c r="M87" s="148" t="str"/>
      <x:c r="N87" s="114" t="str"/>
      <x:c r="O87" s="114" t="str"/>
      <x:c r="P87" s="115" t="str"/>
    </x:row>
    <x:row r="88" ht="34" customHeight="1">
      <x:c r="A88" s="113" t="str"/>
      <x:c r="B88" s="114" t="str"/>
      <x:c r="C88" s="114" t="str"/>
      <x:c r="D88" s="114" t="str"/>
      <x:c r="E88" s="114" t="str"/>
      <x:c r="F88" s="114" t="str"/>
      <x:c r="G88" s="114" t="str"/>
      <x:c r="H88" s="114" t="str"/>
      <x:c r="I88" s="114" t="str"/>
      <x:c r="J88" s="114" t="str"/>
      <x:c r="K88" s="148" t="str"/>
      <x:c r="L88" s="148" t="str"/>
      <x:c r="M88" s="148" t="str"/>
      <x:c r="N88" s="114" t="str"/>
      <x:c r="O88" s="114" t="str"/>
      <x:c r="P88" s="115" t="str"/>
    </x:row>
    <x:row r="89" ht="34" customHeight="1">
      <x:c r="A89" s="113" t="str"/>
      <x:c r="B89" s="114" t="str"/>
      <x:c r="C89" s="114" t="str"/>
      <x:c r="D89" s="114" t="str"/>
      <x:c r="E89" s="114" t="str"/>
      <x:c r="F89" s="114" t="str"/>
      <x:c r="G89" s="114" t="str"/>
      <x:c r="H89" s="114" t="str"/>
      <x:c r="I89" s="114" t="str"/>
      <x:c r="J89" s="114" t="str"/>
      <x:c r="K89" s="148" t="str"/>
      <x:c r="L89" s="148" t="str"/>
      <x:c r="M89" s="148" t="str"/>
      <x:c r="N89" s="114" t="str"/>
      <x:c r="O89" s="114" t="str"/>
      <x:c r="P89" s="115" t="str"/>
    </x:row>
    <x:row r="90" ht="34" customHeight="1">
      <x:c r="A90" s="113" t="str"/>
      <x:c r="B90" s="114" t="str"/>
      <x:c r="C90" s="114" t="str"/>
      <x:c r="D90" s="114" t="str"/>
      <x:c r="E90" s="114" t="str"/>
      <x:c r="F90" s="114" t="str"/>
      <x:c r="G90" s="114" t="str"/>
      <x:c r="H90" s="114" t="str"/>
      <x:c r="I90" s="114" t="str"/>
      <x:c r="J90" s="114" t="str"/>
      <x:c r="K90" s="148" t="str"/>
      <x:c r="L90" s="148" t="str"/>
      <x:c r="M90" s="148" t="str"/>
      <x:c r="N90" s="114" t="str"/>
      <x:c r="O90" s="114" t="str"/>
      <x:c r="P90" s="115" t="str"/>
    </x:row>
    <x:row r="91" ht="34" customHeight="1">
      <x:c r="A91" s="113" t="str"/>
      <x:c r="B91" s="114" t="str"/>
      <x:c r="C91" s="114" t="str"/>
      <x:c r="D91" s="114" t="str"/>
      <x:c r="E91" s="114" t="str"/>
      <x:c r="F91" s="114" t="str"/>
      <x:c r="G91" s="114" t="str"/>
      <x:c r="H91" s="114" t="str"/>
      <x:c r="I91" s="114" t="str"/>
      <x:c r="J91" s="114" t="str"/>
      <x:c r="K91" s="148" t="str"/>
      <x:c r="L91" s="148" t="str"/>
      <x:c r="M91" s="148" t="str"/>
      <x:c r="N91" s="114" t="str"/>
      <x:c r="O91" s="114" t="str"/>
      <x:c r="P91" s="115" t="str"/>
    </x:row>
    <x:row r="92" ht="34" customHeight="1">
      <x:c r="A92" s="113" t="str"/>
      <x:c r="B92" s="114" t="str"/>
      <x:c r="C92" s="114" t="str"/>
      <x:c r="D92" s="114" t="str"/>
      <x:c r="E92" s="114" t="str"/>
      <x:c r="F92" s="114" t="str"/>
      <x:c r="G92" s="114" t="str"/>
      <x:c r="H92" s="114" t="str"/>
      <x:c r="I92" s="114" t="str"/>
      <x:c r="J92" s="114" t="str"/>
      <x:c r="K92" s="148" t="str"/>
      <x:c r="L92" s="148" t="str"/>
      <x:c r="M92" s="148" t="str"/>
      <x:c r="N92" s="114" t="str"/>
      <x:c r="O92" s="114" t="str"/>
      <x:c r="P92" s="115" t="str"/>
    </x:row>
    <x:row r="93" ht="34" customHeight="1">
      <x:c r="A93" s="113" t="str"/>
      <x:c r="B93" s="114" t="str"/>
      <x:c r="C93" s="114" t="str"/>
      <x:c r="D93" s="114" t="str"/>
      <x:c r="E93" s="114" t="str"/>
      <x:c r="F93" s="114" t="str"/>
      <x:c r="G93" s="114" t="str"/>
      <x:c r="H93" s="114" t="str"/>
      <x:c r="I93" s="114" t="str"/>
      <x:c r="J93" s="114" t="str"/>
      <x:c r="K93" s="148" t="str"/>
      <x:c r="L93" s="148" t="str"/>
      <x:c r="M93" s="148" t="str"/>
      <x:c r="N93" s="114" t="str"/>
      <x:c r="O93" s="114" t="str"/>
      <x:c r="P93" s="115" t="str"/>
    </x:row>
    <x:row r="94" ht="34" customHeight="1">
      <x:c r="A94" s="113" t="str"/>
      <x:c r="B94" s="114" t="str"/>
      <x:c r="C94" s="114" t="str"/>
      <x:c r="D94" s="114" t="str"/>
      <x:c r="E94" s="114" t="str"/>
      <x:c r="F94" s="114" t="str"/>
      <x:c r="G94" s="114" t="str"/>
      <x:c r="H94" s="114" t="str"/>
      <x:c r="I94" s="114" t="str"/>
      <x:c r="J94" s="114" t="str"/>
      <x:c r="K94" s="148" t="str"/>
      <x:c r="L94" s="148" t="str"/>
      <x:c r="M94" s="148" t="str"/>
      <x:c r="N94" s="114" t="str"/>
      <x:c r="O94" s="114" t="str"/>
      <x:c r="P94" s="115" t="str"/>
    </x:row>
    <x:row r="95" ht="34" customHeight="1">
      <x:c r="A95" s="113" t="str"/>
      <x:c r="B95" s="114" t="str"/>
      <x:c r="C95" s="114" t="str"/>
      <x:c r="D95" s="114" t="str"/>
      <x:c r="E95" s="114" t="str"/>
      <x:c r="F95" s="114" t="str"/>
      <x:c r="G95" s="114" t="str"/>
      <x:c r="H95" s="114" t="str"/>
      <x:c r="I95" s="114" t="str"/>
      <x:c r="J95" s="114" t="str"/>
      <x:c r="K95" s="148" t="str"/>
      <x:c r="L95" s="148" t="str"/>
      <x:c r="M95" s="148" t="str"/>
      <x:c r="N95" s="114" t="str"/>
      <x:c r="O95" s="114" t="str"/>
      <x:c r="P95" s="115" t="str"/>
    </x:row>
    <x:row r="96" ht="34" customHeight="1">
      <x:c r="A96" s="113" t="str"/>
      <x:c r="B96" s="114" t="str"/>
      <x:c r="C96" s="114" t="str"/>
      <x:c r="D96" s="114" t="str"/>
      <x:c r="E96" s="114" t="str"/>
      <x:c r="F96" s="114" t="str"/>
      <x:c r="G96" s="114" t="str"/>
      <x:c r="H96" s="114" t="str"/>
      <x:c r="I96" s="114" t="str"/>
      <x:c r="J96" s="114" t="str"/>
      <x:c r="K96" s="148" t="str"/>
      <x:c r="L96" s="148" t="str"/>
      <x:c r="M96" s="148" t="str"/>
      <x:c r="N96" s="114" t="str"/>
      <x:c r="O96" s="114" t="str"/>
      <x:c r="P96" s="115" t="str"/>
    </x:row>
    <x:row r="97" ht="34" customHeight="1">
      <x:c r="A97" s="113" t="str"/>
      <x:c r="B97" s="114" t="str"/>
      <x:c r="C97" s="114" t="str"/>
      <x:c r="D97" s="114" t="str"/>
      <x:c r="E97" s="114" t="str"/>
      <x:c r="F97" s="114" t="str"/>
      <x:c r="G97" s="114" t="str"/>
      <x:c r="H97" s="114" t="str"/>
      <x:c r="I97" s="114" t="str"/>
      <x:c r="J97" s="114" t="str"/>
      <x:c r="K97" s="148" t="str"/>
      <x:c r="L97" s="148" t="str"/>
      <x:c r="M97" s="148" t="str"/>
      <x:c r="N97" s="114" t="str"/>
      <x:c r="O97" s="114" t="str"/>
      <x:c r="P97" s="115" t="str"/>
    </x:row>
    <x:row r="98" ht="34" customHeight="1">
      <x:c r="A98" s="113" t="str"/>
      <x:c r="B98" s="114" t="str"/>
      <x:c r="C98" s="114" t="str"/>
      <x:c r="D98" s="114" t="str"/>
      <x:c r="E98" s="114" t="str"/>
      <x:c r="F98" s="114" t="str"/>
      <x:c r="G98" s="114" t="str"/>
      <x:c r="H98" s="114" t="str"/>
      <x:c r="I98" s="114" t="str"/>
      <x:c r="J98" s="114" t="str"/>
      <x:c r="K98" s="148" t="str"/>
      <x:c r="L98" s="148" t="str"/>
      <x:c r="M98" s="148" t="str"/>
      <x:c r="N98" s="114" t="str"/>
      <x:c r="O98" s="114" t="str"/>
      <x:c r="P98" s="115" t="str"/>
    </x:row>
    <x:row r="99" ht="34" customHeight="1">
      <x:c r="A99" s="113" t="str"/>
      <x:c r="B99" s="114" t="str"/>
      <x:c r="C99" s="114" t="str"/>
      <x:c r="D99" s="114" t="str"/>
      <x:c r="E99" s="114" t="str"/>
      <x:c r="F99" s="114" t="str"/>
      <x:c r="G99" s="114" t="str"/>
      <x:c r="H99" s="114" t="str"/>
      <x:c r="I99" s="114" t="str"/>
      <x:c r="J99" s="114" t="str"/>
      <x:c r="K99" s="148" t="str"/>
      <x:c r="L99" s="148" t="str"/>
      <x:c r="M99" s="148" t="str"/>
      <x:c r="N99" s="114" t="str"/>
      <x:c r="O99" s="114" t="str"/>
      <x:c r="P99" s="115" t="str"/>
    </x:row>
    <x:row r="100" ht="34" customHeight="1">
      <x:c r="A100" s="113" t="str"/>
      <x:c r="B100" s="114" t="str"/>
      <x:c r="C100" s="114" t="str"/>
      <x:c r="D100" s="114" t="str"/>
      <x:c r="E100" s="114" t="str"/>
      <x:c r="F100" s="114" t="str"/>
      <x:c r="G100" s="114" t="str"/>
      <x:c r="H100" s="114" t="str"/>
      <x:c r="I100" s="114" t="str"/>
      <x:c r="J100" s="114" t="str"/>
      <x:c r="K100" s="148" t="str"/>
      <x:c r="L100" s="148" t="str"/>
      <x:c r="M100" s="148" t="str"/>
      <x:c r="N100" s="114" t="str"/>
      <x:c r="O100" s="114" t="str"/>
      <x:c r="P100" s="115" t="str"/>
    </x:row>
    <x:row r="101" ht="34" customHeight="1">
      <x:c r="A101" s="113" t="str"/>
      <x:c r="B101" s="114" t="str"/>
      <x:c r="C101" s="114" t="str"/>
      <x:c r="D101" s="114" t="str"/>
      <x:c r="E101" s="114" t="str"/>
      <x:c r="F101" s="114" t="str"/>
      <x:c r="G101" s="114" t="str"/>
      <x:c r="H101" s="114" t="str"/>
      <x:c r="I101" s="114" t="str"/>
      <x:c r="J101" s="114" t="str"/>
      <x:c r="K101" s="148" t="str"/>
      <x:c r="L101" s="148" t="str"/>
      <x:c r="M101" s="148" t="str"/>
      <x:c r="N101" s="114" t="str"/>
      <x:c r="O101" s="114" t="str"/>
      <x:c r="P101" s="115" t="str"/>
    </x:row>
    <x:row r="102" ht="34" customHeight="1">
      <x:c r="A102" s="113" t="str"/>
      <x:c r="B102" s="114" t="str"/>
      <x:c r="C102" s="114" t="str"/>
      <x:c r="D102" s="114" t="str"/>
      <x:c r="E102" s="114" t="str"/>
      <x:c r="F102" s="114" t="str"/>
      <x:c r="G102" s="114" t="str"/>
      <x:c r="H102" s="114" t="str"/>
      <x:c r="I102" s="114" t="str"/>
      <x:c r="J102" s="114" t="str"/>
      <x:c r="K102" s="148" t="str"/>
      <x:c r="L102" s="148" t="str"/>
      <x:c r="M102" s="148" t="str"/>
      <x:c r="N102" s="114" t="str"/>
      <x:c r="O102" s="114" t="str"/>
      <x:c r="P102" s="115" t="str"/>
    </x:row>
    <x:row r="103" ht="34" customHeight="1">
      <x:c r="A103" s="113" t="str"/>
      <x:c r="B103" s="114" t="str"/>
      <x:c r="C103" s="114" t="str"/>
      <x:c r="D103" s="114" t="str"/>
      <x:c r="E103" s="114" t="str"/>
      <x:c r="F103" s="114" t="str"/>
      <x:c r="G103" s="114" t="str"/>
      <x:c r="H103" s="114" t="str"/>
      <x:c r="I103" s="114" t="str"/>
      <x:c r="J103" s="114" t="str"/>
      <x:c r="K103" s="148" t="str"/>
      <x:c r="L103" s="148" t="str"/>
      <x:c r="M103" s="148" t="str"/>
      <x:c r="N103" s="114" t="str"/>
      <x:c r="O103" s="114" t="str"/>
      <x:c r="P103" s="115" t="str"/>
    </x:row>
    <x:row r="104" ht="34" customHeight="1">
      <x:c r="A104" s="116" t="str"/>
      <x:c r="B104" s="117" t="str"/>
      <x:c r="C104" s="117" t="str"/>
      <x:c r="D104" s="117" t="str"/>
      <x:c r="E104" s="117" t="str"/>
      <x:c r="F104" s="117" t="str"/>
      <x:c r="G104" s="117" t="str"/>
      <x:c r="H104" s="117" t="str"/>
      <x:c r="I104" s="117" t="str"/>
      <x:c r="J104" s="117" t="str"/>
      <x:c r="K104" s="149" t="str"/>
      <x:c r="L104" s="149" t="str"/>
      <x:c r="M104" s="149" t="str"/>
      <x:c r="N104" s="117" t="str"/>
      <x:c r="O104" s="117" t="str"/>
      <x:c r="P104" s="118" t="str"/>
    </x:row>
  </x:sheetData>
  <x:mergeCells>
    <x:mergeCell ref="A1:P1"/>
    <x:mergeCell ref="A2:P2"/>
  </x:mergeCells>
  <x:conditionalFormatting sqref="G5:G104">
    <x:cfRule type="containsText" dxfId="25" priority="1" operator="containsText" text="Closed"/>
    <x:cfRule type="containsText" dxfId="26" priority="2" operator="containsText" text="Open"/>
    <x:cfRule type="containsText" dxfId="27" priority="3" operator="containsText" text="Retest"/>
  </x:conditionalFormatting>
  <x:dataValidations count="4">
    <x:dataValidation type="list" sqref="E5:E104">
      <x:formula1>"S1 Critical,S2 High,S3 Medium,S4 Low"</x:formula1>
    </x:dataValidation>
    <x:dataValidation type="list" sqref="F5:F104">
      <x:formula1>"Critical,High,Medium,Low"</x:formula1>
    </x:dataValidation>
    <x:dataValidation type="list" sqref="G5:G104">
      <x:formula1>"Open,In Progress,Retest,Closed,Deferred,Rejected"</x:formula1>
    </x:dataValidation>
    <x:dataValidation type="list" sqref="H5:H104">
      <x:formula1>"Local,Development,UAT,Production Smoke"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0121dcb2454e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2" hidden="0" customWidth="1"/>
    <x:col min="4" max="4" width="16" hidden="0" customWidth="1"/>
    <x:col min="5" max="5" width="28" hidden="0" customWidth="1"/>
    <x:col min="6" max="6" width="40" hidden="0" customWidth="1"/>
    <x:col min="7" max="7" width="18" hidden="0" customWidth="1"/>
    <x:col min="8" max="8" width="28" hidden="0" customWidth="1"/>
  </x:cols>
  <x:sheetData>
    <x:row r="1" ht="38" customHeight="1">
      <x:c r="A1" s="4" t="str">
        <x:v>How to Use This Test Workbook</x:v>
      </x:c>
      <x:c r="B1" s="4" t="str">
        <x:v>How to Use This Test Workbook</x:v>
      </x:c>
      <x:c r="C1" s="4" t="str">
        <x:v>How to Use This Test Workbook</x:v>
      </x:c>
      <x:c r="D1" s="4" t="str">
        <x:v>How to Use This Test Workbook</x:v>
      </x:c>
      <x:c r="E1" s="4" t="str">
        <x:v>How to Use This Test Workbook</x:v>
      </x:c>
      <x:c r="F1" s="4" t="str">
        <x:v>How to Use This Test Workbook</x:v>
      </x:c>
      <x:c r="G1" s="4" t="str">
        <x:v>How to Use This Test Workbook</x:v>
      </x:c>
      <x:c r="H1" s="4" t="str">
        <x:v>How to Use This Test Workbook</x:v>
      </x:c>
    </x:row>
    <x:row r="2" ht="24" customHeight="1">
      <x:c r="A2" s="8" t="str">
        <x:v>แนวทางใช้เอกสารสำหรับ SIT, UAT, Regression และ Release Sign-off</x:v>
      </x:c>
      <x:c r="B2" s="8" t="str">
        <x:v>แนวทางใช้เอกสารสำหรับ SIT, UAT, Regression และ Release Sign-off</x:v>
      </x:c>
      <x:c r="C2" s="8" t="str">
        <x:v>แนวทางใช้เอกสารสำหรับ SIT, UAT, Regression และ Release Sign-off</x:v>
      </x:c>
      <x:c r="D2" s="8" t="str">
        <x:v>แนวทางใช้เอกสารสำหรับ SIT, UAT, Regression และ Release Sign-off</x:v>
      </x:c>
      <x:c r="E2" s="8" t="str">
        <x:v>แนวทางใช้เอกสารสำหรับ SIT, UAT, Regression และ Release Sign-off</x:v>
      </x:c>
      <x:c r="F2" s="8" t="str">
        <x:v>แนวทางใช้เอกสารสำหรับ SIT, UAT, Regression และ Release Sign-off</x:v>
      </x:c>
      <x:c r="G2" s="8" t="str">
        <x:v>แนวทางใช้เอกสารสำหรับ SIT, UAT, Regression และ Release Sign-off</x:v>
      </x:c>
      <x:c r="H2" s="8" t="str">
        <x:v>แนวทางใช้เอกสารสำหรับ SIT, UAT, Regression และ Release Sign-off</x:v>
      </x:c>
    </x:row>
    <x:row r="4" ht="30" customHeight="1">
      <x:c r="A4" s="89" t="str">
        <x:v>หัวข้อ</x:v>
      </x:c>
      <x:c r="B4" s="91" t="str">
        <x:v>แนวทาง</x:v>
      </x:c>
      <x:c r="D4" s="89" t="str">
        <x:v>Status</x:v>
      </x:c>
      <x:c r="E4" s="90" t="str">
        <x:v>ใช้เมื่อ</x:v>
      </x:c>
      <x:c r="F4" s="90" t="str">
        <x:v>ต้องกรอก</x:v>
      </x:c>
      <x:c r="G4" s="90" t="str">
        <x:v>นับใน Pass Rate</x:v>
      </x:c>
      <x:c r="H4" s="91" t="str">
        <x:v>หมายเหตุ</x:v>
      </x:c>
    </x:row>
    <x:row r="5" ht="48" customHeight="1">
      <x:c r="A5" s="156" t="str">
        <x:v>1. ก่อนเริ่ม Test Cycle</x:v>
      </x:c>
      <x:c r="B5" s="112" t="str">
        <x:v>บันทึกสำเนาไฟล์ใหม่ ตั้งชื่อ เช่น ThaiCon-CMMS-UAT-Cycle-01.xlsx และกรอก System Version/Environment ใน Test Summary</x:v>
      </x:c>
      <x:c r="D5" s="110" t="str">
        <x:v>Not Run</x:v>
      </x:c>
      <x:c r="E5" s="111" t="str">
        <x:v>ยังไม่เริ่ม</x:v>
      </x:c>
      <x:c r="F5" s="111" t="str">
        <x:v>-</x:v>
      </x:c>
      <x:c r="G5" s="111" t="str">
        <x:v>ไม่</x:v>
      </x:c>
      <x:c r="H5" s="112" t="str">
        <x:v>ค่าเริ่มต้น</x:v>
      </x:c>
    </x:row>
    <x:row r="6" ht="48" customHeight="1">
      <x:c r="A6" s="157" t="str">
        <x:v>2. เลือก Test Cases</x:v>
      </x:c>
      <x:c r="B6" s="115" t="str">
        <x:v>ใช้ Execute? = Yes สำหรับรายการใน scope; ถ้าไม่เกี่ยวข้องให้เลือก No และ Status = N/A พร้อมระบุเหตุผลใน Notes</x:v>
      </x:c>
      <x:c r="D6" s="113" t="str">
        <x:v>In Progress</x:v>
      </x:c>
      <x:c r="E6" s="114" t="str">
        <x:v>กำลังทดสอบ</x:v>
      </x:c>
      <x:c r="F6" s="114" t="str">
        <x:v>Tester</x:v>
      </x:c>
      <x:c r="G6" s="114" t="str">
        <x:v>ไม่</x:v>
      </x:c>
      <x:c r="H6" s="115" t="str">
        <x:v>อย่าค้างเกิน Test Day</x:v>
      </x:c>
    </x:row>
    <x:row r="7" ht="48" customHeight="1">
      <x:c r="A7" s="157" t="str">
        <x:v>3. รันทดสอบ</x:v>
      </x:c>
      <x:c r="B7" s="115" t="str">
        <x:v>ทำตาม Preconditions และ Test Steps ใช้ข้อมูลใน Test Data จากนั้นกรอก Actual Result, Status, Evidence Link, Tester และ Execution Date</x:v>
      </x:c>
      <x:c r="D7" s="113" t="str">
        <x:v>Pass</x:v>
      </x:c>
      <x:c r="E7" s="114" t="str">
        <x:v>ผลตรง Expected</x:v>
      </x:c>
      <x:c r="F7" s="114" t="str">
        <x:v>Actual/Evidence/Tester/Date</x:v>
      </x:c>
      <x:c r="G7" s="114" t="str">
        <x:v>ใช่</x:v>
      </x:c>
      <x:c r="H7" s="115" t="str">
        <x:v>หลักฐานตามความเสี่ยง</x:v>
      </x:c>
    </x:row>
    <x:row r="8" ht="48" customHeight="1">
      <x:c r="A8" s="157" t="str">
        <x:v>4. เมื่อพบปัญหา</x:v>
      </x:c>
      <x:c r="B8" s="115" t="str">
        <x:v>ตั้ง Status = Fail สร้างรายการใน Defect Log แล้วนำ Defect ID กลับมาใส่ใน Test Cases</x:v>
      </x:c>
      <x:c r="D8" s="113" t="str">
        <x:v>Fail</x:v>
      </x:c>
      <x:c r="E8" s="114" t="str">
        <x:v>ผลไม่ตรง Expected</x:v>
      </x:c>
      <x:c r="F8" s="114" t="str">
        <x:v>Actual/Evidence/Defect ID/Tester/Date</x:v>
      </x:c>
      <x:c r="G8" s="114" t="str">
        <x:v>ใช่</x:v>
      </x:c>
      <x:c r="H8" s="115" t="str">
        <x:v>ต้องมี Defect</x:v>
      </x:c>
    </x:row>
    <x:row r="9" ht="48" customHeight="1">
      <x:c r="A9" s="157" t="str">
        <x:v>5. Retest</x:v>
      </x:c>
      <x:c r="B9" s="115" t="str">
        <x:v>หลังแก้ไข เปลี่ยน Defect เป็น Retest รันทดสอบ Test Case เดิมและ regression ที่เกี่ยวข้อง เมื่อผ่านให้ปิด Defect</x:v>
      </x:c>
      <x:c r="D9" s="113" t="str">
        <x:v>Blocked</x:v>
      </x:c>
      <x:c r="E9" s="114" t="str">
        <x:v>ทดสอบไม่ได้จาก dependency</x:v>
      </x:c>
      <x:c r="F9" s="114" t="str">
        <x:v>เหตุผล/Owner/กำหนดปลด Block</x:v>
      </x:c>
      <x:c r="G9" s="114" t="str">
        <x:v>ไม่</x:v>
      </x:c>
      <x:c r="H9" s="115" t="str">
        <x:v>ไม่เท่ากับ Fail</x:v>
      </x:c>
    </x:row>
    <x:row r="10" ht="48" customHeight="1">
      <x:c r="A10" s="157" t="str">
        <x:v>6. Traceability</x:v>
      </x:c>
      <x:c r="B10" s="115" t="str">
        <x:v>ตรวจ RTM ให้ Coverage = Covered ทุก Requirement และไม่มี Critical requirement ค้าง Fail/Pending ก่อนปล่อยระบบ</x:v>
      </x:c>
      <x:c r="D10" s="116" t="str">
        <x:v>N/A</x:v>
      </x:c>
      <x:c r="E10" s="117" t="str">
        <x:v>นอก scope รอบนี้</x:v>
      </x:c>
      <x:c r="F10" s="117" t="str">
        <x:v>เหตุผลใน Notes</x:v>
      </x:c>
      <x:c r="G10" s="117" t="str">
        <x:v>ไม่</x:v>
      </x:c>
      <x:c r="H10" s="118" t="str">
        <x:v>ต้องอนุมัติโดย QA Lead</x:v>
      </x:c>
    </x:row>
    <x:row r="11" ht="48" customHeight="1">
      <x:c r="A11" s="157" t="str">
        <x:v>7. Sign-off</x:v>
      </x:c>
      <x:c r="B11" s="115" t="str">
        <x:v>ตรวจ Release Gate ใน Test Summary; Product Owner/ลูกค้าอนุมัติหลัง Critical pass 100%, pass rate &gt;= 95% และไม่มี S1/S2 เปิดอยู่</x:v>
      </x:c>
    </x:row>
    <x:row r="12" ht="48" customHeight="1">
      <x:c r="A12" s="157" t="str">
        <x:v>Evidence</x:v>
      </x:c>
      <x:c r="B12" s="115" t="str">
        <x:v>แนบ URL ของ screenshot/video/log ที่ทีมเข้าถึงได้ หลีกเลี่ยงข้อมูลส่วนบุคคล รหัสผ่าน token และ production secrets</x:v>
      </x:c>
    </x:row>
    <x:row r="13" ht="30" customHeight="1">
      <x:c r="A13" s="158" t="str">
        <x:v>Version control</x:v>
      </x:c>
      <x:c r="B13" s="118" t="str">
        <x:v>ไฟล์นี้เป็น QA artifact ไม่ควรแก้ master ระหว่างหลาย cycle ให้แยกไฟล์ต่อ environment/release เพื่อรักษาประวัติ</x:v>
      </x:c>
      <x:c r="D13" s="89" t="str">
        <x:v>Severity</x:v>
      </x:c>
      <x:c r="E13" s="90" t="str">
        <x:v>ผลกระทบ</x:v>
      </x:c>
      <x:c r="F13" s="90" t="str">
        <x:v>ตัวอย่าง</x:v>
      </x:c>
      <x:c r="G13" s="90" t="str">
        <x:v>Response</x:v>
      </x:c>
      <x:c r="H13" s="91" t="str">
        <x:v>Release Rule</x:v>
      </x:c>
    </x:row>
    <x:row r="14">
      <x:c r="D14" s="122" t="str">
        <x:v>S1 Critical</x:v>
      </x:c>
      <x:c r="E14" s="111" t="str">
        <x:v>ระบบหลักหยุด/ข้อมูลหรือสิทธิ์รั่ว</x:v>
      </x:c>
      <x:c r="F14" s="111" t="str">
        <x:v>Login ไม่ได้, ข้อมูลข้ามไซต์</x:v>
      </x:c>
      <x:c r="G14" s="111" t="str">
        <x:v>แก้ทันที</x:v>
      </x:c>
      <x:c r="H14" s="112" t="str">
        <x:v>ห้าม Release</x:v>
      </x:c>
    </x:row>
    <x:row r="15">
      <x:c r="D15" s="123" t="str">
        <x:v>S2 High</x:v>
      </x:c>
      <x:c r="E15" s="114" t="str">
        <x:v>ฟังก์ชันหลักผิด ไม่มี workaround ที่ยอมรับได้</x:v>
      </x:c>
      <x:c r="F15" s="114" t="str">
        <x:v>Approve/Submit/PDF ใช้ไม่ได้</x:v>
      </x:c>
      <x:c r="G15" s="114" t="str">
        <x:v>แก้ก่อน UAT sign-off</x:v>
      </x:c>
      <x:c r="H15" s="115" t="str">
        <x:v>ต้องเป็น 0 open</x:v>
      </x:c>
    </x:row>
    <x:row r="16">
      <x:c r="D16" s="123" t="str">
        <x:v>S3 Medium</x:v>
      </x:c>
      <x:c r="E16" s="114" t="str">
        <x:v>กระทบบางส่วนและมี workaround</x:v>
      </x:c>
      <x:c r="F16" s="114" t="str">
        <x:v>Filter/ข้อความ/validation บางจุด</x:v>
      </x:c>
      <x:c r="G16" s="114" t="str">
        <x:v>วางแผนแก้</x:v>
      </x:c>
      <x:c r="H16" s="115" t="str">
        <x:v>อนุมัติเป็นกรณี</x:v>
      </x:c>
    </x:row>
    <x:row r="17">
      <x:c r="D17" s="124" t="str">
        <x:v>S4 Low</x:v>
      </x:c>
      <x:c r="E17" s="117" t="str">
        <x:v>Cosmetic/ข้อเสนอแนะ</x:v>
      </x:c>
      <x:c r="F17" s="117" t="str">
        <x:v>spacing หรือถ้อยคำเล็กน้อย</x:v>
      </x:c>
      <x:c r="G17" s="117" t="str">
        <x:v>Backlog</x:v>
      </x:c>
      <x:c r="H17" s="118" t="str">
        <x:v>ปล่อยได้เมื่อยอมรับ</x:v>
      </x:c>
    </x:row>
  </x:sheetData>
  <x:mergeCells>
    <x:mergeCell ref="A1:H1"/>
    <x:mergeCell ref="A2:H2"/>
  </x:mergeCells>
  <x:conditionalFormatting sqref="D5:D10">
    <x:cfRule type="containsText" dxfId="28" priority="1" operator="containsText" text="Pass"/>
    <x:cfRule type="containsText" dxfId="29" priority="2" operator="containsText" text="Fail"/>
    <x:cfRule type="containsText" dxfId="30" priority="3" operator="containsText" text="Blocked"/>
    <x:cfRule type="containsText" dxfId="31" priority="4" operator="containsText" text="In Progress"/>
    <x:cfRule type="containsText" dxfId="32" priority="5" operator="containsText" text="Not Run"/>
  </x:conditionalFormatting>
  <x:pageMargins left="0.7" right="0.7" top="0.75" bottom="0.75" header="0.3" footer="0.3"/>
</x:worksheet>
</file>